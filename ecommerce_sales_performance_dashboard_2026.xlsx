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esume\archive\"/>
    </mc:Choice>
  </mc:AlternateContent>
  <xr:revisionPtr revIDLastSave="0" documentId="13_ncr:1_{DDB4BFEA-BE34-4265-B900-E16E959FFB76}" xr6:coauthVersionLast="47" xr6:coauthVersionMax="47" xr10:uidLastSave="{00000000-0000-0000-0000-000000000000}"/>
  <bookViews>
    <workbookView xWindow="-110" yWindow="-110" windowWidth="19420" windowHeight="11020" xr2:uid="{58F2EC29-BF7E-4CB8-9AA7-624689D6EEEC}"/>
  </bookViews>
  <sheets>
    <sheet name="Summary" sheetId="2" r:id="rId1"/>
    <sheet name="MTD" sheetId="3" r:id="rId2"/>
    <sheet name="ecommerce_sales_1000_records" sheetId="1" r:id="rId3"/>
  </sheets>
  <definedNames>
    <definedName name="_xlnm._FilterDatabase" localSheetId="2" hidden="1">ecommerce_sales_1000_records!$A$1:$G$1001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2" l="1"/>
  <c r="N18" i="2"/>
  <c r="N19" i="2"/>
  <c r="N20" i="2"/>
  <c r="N21" i="2"/>
  <c r="N17" i="2"/>
  <c r="H22" i="2"/>
  <c r="I22" i="2"/>
  <c r="J22" i="2"/>
  <c r="K22" i="2"/>
  <c r="L22" i="2"/>
  <c r="M22" i="2"/>
  <c r="I17" i="2"/>
  <c r="J17" i="2"/>
  <c r="K17" i="2"/>
  <c r="L17" i="2"/>
  <c r="M17" i="2"/>
  <c r="I18" i="2"/>
  <c r="L18" i="2" s="1"/>
  <c r="J18" i="2"/>
  <c r="M18" i="2" s="1"/>
  <c r="K18" i="2"/>
  <c r="I19" i="2"/>
  <c r="J19" i="2"/>
  <c r="K19" i="2"/>
  <c r="L19" i="2"/>
  <c r="M19" i="2"/>
  <c r="I20" i="2"/>
  <c r="J20" i="2" s="1"/>
  <c r="I21" i="2"/>
  <c r="J21" i="2"/>
  <c r="M21" i="2" s="1"/>
  <c r="K21" i="2"/>
  <c r="L21" i="2"/>
  <c r="H18" i="2"/>
  <c r="H19" i="2"/>
  <c r="H20" i="2"/>
  <c r="H21" i="2"/>
  <c r="H17" i="2"/>
  <c r="G30" i="2"/>
  <c r="C30" i="2"/>
  <c r="D30" i="2"/>
  <c r="E30" i="2"/>
  <c r="F30" i="2"/>
  <c r="B30" i="2"/>
  <c r="G26" i="2"/>
  <c r="G27" i="2"/>
  <c r="G28" i="2"/>
  <c r="G29" i="2"/>
  <c r="G25" i="2"/>
  <c r="B26" i="2"/>
  <c r="C26" i="2"/>
  <c r="D26" i="2"/>
  <c r="E26" i="2"/>
  <c r="F26" i="2"/>
  <c r="B27" i="2"/>
  <c r="C27" i="2"/>
  <c r="D27" i="2"/>
  <c r="E27" i="2"/>
  <c r="F27" i="2"/>
  <c r="B28" i="2"/>
  <c r="C28" i="2"/>
  <c r="D28" i="2"/>
  <c r="E28" i="2"/>
  <c r="F28" i="2"/>
  <c r="B29" i="2"/>
  <c r="C29" i="2"/>
  <c r="D29" i="2"/>
  <c r="E29" i="2"/>
  <c r="F29" i="2"/>
  <c r="C25" i="2"/>
  <c r="D25" i="2"/>
  <c r="E25" i="2"/>
  <c r="F25" i="2"/>
  <c r="B25" i="2"/>
  <c r="C22" i="2"/>
  <c r="D22" i="2"/>
  <c r="E22" i="2"/>
  <c r="F22" i="2"/>
  <c r="G22" i="2"/>
  <c r="B22" i="2"/>
  <c r="D42" i="3"/>
  <c r="E42" i="3"/>
  <c r="F42" i="3"/>
  <c r="G42" i="3"/>
  <c r="H42" i="3"/>
  <c r="H47" i="3" s="1"/>
  <c r="I42" i="3"/>
  <c r="J42" i="3"/>
  <c r="J47" i="3" s="1"/>
  <c r="K42" i="3"/>
  <c r="K47" i="3" s="1"/>
  <c r="L42" i="3"/>
  <c r="M42" i="3"/>
  <c r="N42" i="3"/>
  <c r="O42" i="3"/>
  <c r="P42" i="3"/>
  <c r="P47" i="3" s="1"/>
  <c r="Q42" i="3"/>
  <c r="Q47" i="3" s="1"/>
  <c r="R42" i="3"/>
  <c r="R47" i="3" s="1"/>
  <c r="S42" i="3"/>
  <c r="S47" i="3" s="1"/>
  <c r="T42" i="3"/>
  <c r="U42" i="3"/>
  <c r="V42" i="3"/>
  <c r="W42" i="3"/>
  <c r="X42" i="3"/>
  <c r="Y42" i="3"/>
  <c r="Y47" i="3" s="1"/>
  <c r="Z42" i="3"/>
  <c r="AA42" i="3"/>
  <c r="AA47" i="3" s="1"/>
  <c r="AB42" i="3"/>
  <c r="AC42" i="3"/>
  <c r="AD42" i="3"/>
  <c r="AE42" i="3"/>
  <c r="AE47" i="3" s="1"/>
  <c r="AF42" i="3"/>
  <c r="AF47" i="3" s="1"/>
  <c r="D43" i="3"/>
  <c r="B43" i="3" s="1"/>
  <c r="E43" i="3"/>
  <c r="E47" i="3" s="1"/>
  <c r="F43" i="3"/>
  <c r="F47" i="3" s="1"/>
  <c r="G43" i="3"/>
  <c r="H43" i="3"/>
  <c r="I43" i="3"/>
  <c r="J43" i="3"/>
  <c r="K43" i="3"/>
  <c r="L43" i="3"/>
  <c r="M43" i="3"/>
  <c r="N43" i="3"/>
  <c r="N47" i="3" s="1"/>
  <c r="O43" i="3"/>
  <c r="P43" i="3"/>
  <c r="Q43" i="3"/>
  <c r="R43" i="3"/>
  <c r="S43" i="3"/>
  <c r="T43" i="3"/>
  <c r="T47" i="3" s="1"/>
  <c r="U43" i="3"/>
  <c r="U47" i="3" s="1"/>
  <c r="V43" i="3"/>
  <c r="V47" i="3" s="1"/>
  <c r="W43" i="3"/>
  <c r="X43" i="3"/>
  <c r="Y43" i="3"/>
  <c r="Z43" i="3"/>
  <c r="AA43" i="3"/>
  <c r="AB43" i="3"/>
  <c r="AC43" i="3"/>
  <c r="AC47" i="3" s="1"/>
  <c r="AD43" i="3"/>
  <c r="AD47" i="3" s="1"/>
  <c r="AE43" i="3"/>
  <c r="AF43" i="3"/>
  <c r="D44" i="3"/>
  <c r="E44" i="3"/>
  <c r="F44" i="3"/>
  <c r="G44" i="3"/>
  <c r="G47" i="3" s="1"/>
  <c r="H44" i="3"/>
  <c r="I44" i="3"/>
  <c r="I47" i="3" s="1"/>
  <c r="J44" i="3"/>
  <c r="K44" i="3"/>
  <c r="L44" i="3"/>
  <c r="M44" i="3"/>
  <c r="N44" i="3"/>
  <c r="O44" i="3"/>
  <c r="O47" i="3" s="1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B47" i="3" s="1"/>
  <c r="AC45" i="3"/>
  <c r="AD45" i="3"/>
  <c r="AE45" i="3"/>
  <c r="AF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C43" i="3"/>
  <c r="C44" i="3"/>
  <c r="C45" i="3"/>
  <c r="C46" i="3"/>
  <c r="C42" i="3"/>
  <c r="Z47" i="3"/>
  <c r="B44" i="3"/>
  <c r="X47" i="3"/>
  <c r="W47" i="3"/>
  <c r="M47" i="3"/>
  <c r="L47" i="3"/>
  <c r="D41" i="3"/>
  <c r="E41" i="3" s="1"/>
  <c r="F41" i="3" s="1"/>
  <c r="G41" i="3" s="1"/>
  <c r="H41" i="3" s="1"/>
  <c r="I41" i="3" s="1"/>
  <c r="J41" i="3" s="1"/>
  <c r="K41" i="3" s="1"/>
  <c r="L41" i="3" s="1"/>
  <c r="M41" i="3" s="1"/>
  <c r="N41" i="3" s="1"/>
  <c r="O41" i="3" s="1"/>
  <c r="P41" i="3" s="1"/>
  <c r="Q41" i="3" s="1"/>
  <c r="R41" i="3" s="1"/>
  <c r="S41" i="3" s="1"/>
  <c r="T41" i="3" s="1"/>
  <c r="U41" i="3" s="1"/>
  <c r="V41" i="3" s="1"/>
  <c r="W41" i="3" s="1"/>
  <c r="X41" i="3" s="1"/>
  <c r="Y41" i="3" s="1"/>
  <c r="Z41" i="3" s="1"/>
  <c r="AA41" i="3" s="1"/>
  <c r="AB41" i="3" s="1"/>
  <c r="AC41" i="3" s="1"/>
  <c r="AD41" i="3" s="1"/>
  <c r="AE41" i="3" s="1"/>
  <c r="AF41" i="3" s="1"/>
  <c r="AG33" i="3"/>
  <c r="AG34" i="3" s="1"/>
  <c r="AG38" i="3"/>
  <c r="D34" i="3"/>
  <c r="E34" i="3"/>
  <c r="F34" i="3"/>
  <c r="G34" i="3"/>
  <c r="G39" i="3" s="1"/>
  <c r="H34" i="3"/>
  <c r="H39" i="3" s="1"/>
  <c r="I34" i="3"/>
  <c r="I39" i="3" s="1"/>
  <c r="J34" i="3"/>
  <c r="J39" i="3" s="1"/>
  <c r="K34" i="3"/>
  <c r="L34" i="3"/>
  <c r="M34" i="3"/>
  <c r="N34" i="3"/>
  <c r="O34" i="3"/>
  <c r="P34" i="3"/>
  <c r="P39" i="3" s="1"/>
  <c r="Q34" i="3"/>
  <c r="R34" i="3"/>
  <c r="R39" i="3" s="1"/>
  <c r="S34" i="3"/>
  <c r="S39" i="3" s="1"/>
  <c r="T34" i="3"/>
  <c r="U34" i="3"/>
  <c r="V34" i="3"/>
  <c r="W34" i="3"/>
  <c r="X34" i="3"/>
  <c r="X39" i="3" s="1"/>
  <c r="Y34" i="3"/>
  <c r="Z34" i="3"/>
  <c r="Z39" i="3" s="1"/>
  <c r="AA34" i="3"/>
  <c r="AA39" i="3" s="1"/>
  <c r="AB34" i="3"/>
  <c r="AC34" i="3"/>
  <c r="AD34" i="3"/>
  <c r="AE34" i="3"/>
  <c r="AF34" i="3"/>
  <c r="D35" i="3"/>
  <c r="E35" i="3"/>
  <c r="E39" i="3" s="1"/>
  <c r="F35" i="3"/>
  <c r="F39" i="3" s="1"/>
  <c r="G35" i="3"/>
  <c r="H35" i="3"/>
  <c r="I35" i="3"/>
  <c r="J35" i="3"/>
  <c r="K35" i="3"/>
  <c r="L35" i="3"/>
  <c r="M35" i="3"/>
  <c r="M39" i="3" s="1"/>
  <c r="N35" i="3"/>
  <c r="N39" i="3" s="1"/>
  <c r="O35" i="3"/>
  <c r="P35" i="3"/>
  <c r="Q35" i="3"/>
  <c r="R35" i="3"/>
  <c r="S35" i="3"/>
  <c r="T35" i="3"/>
  <c r="U35" i="3"/>
  <c r="V35" i="3"/>
  <c r="V39" i="3" s="1"/>
  <c r="W35" i="3"/>
  <c r="X35" i="3"/>
  <c r="Y35" i="3"/>
  <c r="Z35" i="3"/>
  <c r="AA35" i="3"/>
  <c r="AB35" i="3"/>
  <c r="AB39" i="3" s="1"/>
  <c r="AC35" i="3"/>
  <c r="AC39" i="3" s="1"/>
  <c r="AD35" i="3"/>
  <c r="AE35" i="3"/>
  <c r="AF35" i="3"/>
  <c r="D36" i="3"/>
  <c r="E36" i="3"/>
  <c r="F36" i="3"/>
  <c r="G36" i="3"/>
  <c r="H36" i="3"/>
  <c r="I36" i="3"/>
  <c r="J36" i="3"/>
  <c r="K36" i="3"/>
  <c r="L36" i="3"/>
  <c r="M36" i="3"/>
  <c r="N36" i="3"/>
  <c r="O36" i="3"/>
  <c r="O39" i="3" s="1"/>
  <c r="P36" i="3"/>
  <c r="Q36" i="3"/>
  <c r="R36" i="3"/>
  <c r="S36" i="3"/>
  <c r="T36" i="3"/>
  <c r="U36" i="3"/>
  <c r="V36" i="3"/>
  <c r="W36" i="3"/>
  <c r="W39" i="3" s="1"/>
  <c r="X36" i="3"/>
  <c r="Y36" i="3"/>
  <c r="Y39" i="3" s="1"/>
  <c r="Z36" i="3"/>
  <c r="AA36" i="3"/>
  <c r="AB36" i="3"/>
  <c r="AC36" i="3"/>
  <c r="AD36" i="3"/>
  <c r="AE36" i="3"/>
  <c r="AF36" i="3"/>
  <c r="AF39" i="3" s="1"/>
  <c r="D37" i="3"/>
  <c r="E37" i="3"/>
  <c r="F37" i="3"/>
  <c r="G37" i="3"/>
  <c r="H37" i="3"/>
  <c r="I37" i="3"/>
  <c r="J37" i="3"/>
  <c r="K37" i="3"/>
  <c r="L37" i="3"/>
  <c r="L39" i="3" s="1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E39" i="3" s="1"/>
  <c r="AF38" i="3"/>
  <c r="C35" i="3"/>
  <c r="C36" i="3"/>
  <c r="C37" i="3"/>
  <c r="C38" i="3"/>
  <c r="C34" i="3"/>
  <c r="Q39" i="3"/>
  <c r="AD39" i="3"/>
  <c r="U39" i="3"/>
  <c r="T39" i="3"/>
  <c r="K39" i="3"/>
  <c r="D33" i="3"/>
  <c r="E33" i="3" s="1"/>
  <c r="F33" i="3" s="1"/>
  <c r="G33" i="3" s="1"/>
  <c r="H33" i="3" s="1"/>
  <c r="I33" i="3" s="1"/>
  <c r="J33" i="3" s="1"/>
  <c r="K33" i="3" s="1"/>
  <c r="L33" i="3" s="1"/>
  <c r="M33" i="3" s="1"/>
  <c r="N33" i="3" s="1"/>
  <c r="O33" i="3" s="1"/>
  <c r="P33" i="3" s="1"/>
  <c r="Q33" i="3" s="1"/>
  <c r="R33" i="3" s="1"/>
  <c r="S33" i="3" s="1"/>
  <c r="T33" i="3" s="1"/>
  <c r="U33" i="3" s="1"/>
  <c r="V33" i="3" s="1"/>
  <c r="W33" i="3" s="1"/>
  <c r="X33" i="3" s="1"/>
  <c r="Y33" i="3" s="1"/>
  <c r="Z33" i="3" s="1"/>
  <c r="AA33" i="3" s="1"/>
  <c r="AB33" i="3" s="1"/>
  <c r="AC33" i="3" s="1"/>
  <c r="AD33" i="3" s="1"/>
  <c r="AE33" i="3" s="1"/>
  <c r="AF33" i="3" s="1"/>
  <c r="D26" i="3"/>
  <c r="E26" i="3"/>
  <c r="F26" i="3"/>
  <c r="G26" i="3"/>
  <c r="H26" i="3"/>
  <c r="I26" i="3"/>
  <c r="J26" i="3"/>
  <c r="J31" i="3" s="1"/>
  <c r="K26" i="3"/>
  <c r="K31" i="3" s="1"/>
  <c r="L26" i="3"/>
  <c r="M26" i="3"/>
  <c r="N26" i="3"/>
  <c r="O26" i="3"/>
  <c r="P26" i="3"/>
  <c r="Q26" i="3"/>
  <c r="R26" i="3"/>
  <c r="R31" i="3" s="1"/>
  <c r="S26" i="3"/>
  <c r="S31" i="3" s="1"/>
  <c r="T26" i="3"/>
  <c r="U26" i="3"/>
  <c r="V26" i="3"/>
  <c r="W26" i="3"/>
  <c r="X26" i="3"/>
  <c r="X31" i="3" s="1"/>
  <c r="Y26" i="3"/>
  <c r="Z26" i="3"/>
  <c r="Z31" i="3" s="1"/>
  <c r="AA26" i="3"/>
  <c r="AA31" i="3" s="1"/>
  <c r="AB26" i="3"/>
  <c r="AC26" i="3"/>
  <c r="AD26" i="3"/>
  <c r="AD31" i="3" s="1"/>
  <c r="AE26" i="3"/>
  <c r="AF26" i="3"/>
  <c r="AF31" i="3" s="1"/>
  <c r="D27" i="3"/>
  <c r="E27" i="3"/>
  <c r="E31" i="3" s="1"/>
  <c r="F27" i="3"/>
  <c r="G27" i="3"/>
  <c r="H27" i="3"/>
  <c r="I27" i="3"/>
  <c r="J27" i="3"/>
  <c r="K27" i="3"/>
  <c r="L27" i="3"/>
  <c r="M27" i="3"/>
  <c r="M31" i="3" s="1"/>
  <c r="N27" i="3"/>
  <c r="O27" i="3"/>
  <c r="P27" i="3"/>
  <c r="Q27" i="3"/>
  <c r="R27" i="3"/>
  <c r="S27" i="3"/>
  <c r="T27" i="3"/>
  <c r="U27" i="3"/>
  <c r="U31" i="3" s="1"/>
  <c r="V27" i="3"/>
  <c r="W27" i="3"/>
  <c r="X27" i="3"/>
  <c r="Y27" i="3"/>
  <c r="Z27" i="3"/>
  <c r="AA27" i="3"/>
  <c r="AB27" i="3"/>
  <c r="AC27" i="3"/>
  <c r="AC31" i="3" s="1"/>
  <c r="AD27" i="3"/>
  <c r="AE27" i="3"/>
  <c r="AF27" i="3"/>
  <c r="D28" i="3"/>
  <c r="B28" i="3" s="1"/>
  <c r="E28" i="3"/>
  <c r="F28" i="3"/>
  <c r="G28" i="3"/>
  <c r="H28" i="3"/>
  <c r="H31" i="3" s="1"/>
  <c r="I28" i="3"/>
  <c r="I31" i="3" s="1"/>
  <c r="J28" i="3"/>
  <c r="K28" i="3"/>
  <c r="L28" i="3"/>
  <c r="L31" i="3" s="1"/>
  <c r="M28" i="3"/>
  <c r="N28" i="3"/>
  <c r="O28" i="3"/>
  <c r="P28" i="3"/>
  <c r="P31" i="3" s="1"/>
  <c r="Q28" i="3"/>
  <c r="Q31" i="3" s="1"/>
  <c r="R28" i="3"/>
  <c r="S28" i="3"/>
  <c r="T28" i="3"/>
  <c r="T31" i="3" s="1"/>
  <c r="U28" i="3"/>
  <c r="V28" i="3"/>
  <c r="W28" i="3"/>
  <c r="X28" i="3"/>
  <c r="Y28" i="3"/>
  <c r="Y31" i="3" s="1"/>
  <c r="Z28" i="3"/>
  <c r="AA28" i="3"/>
  <c r="AB28" i="3"/>
  <c r="AB31" i="3" s="1"/>
  <c r="AC28" i="3"/>
  <c r="AD28" i="3"/>
  <c r="AE28" i="3"/>
  <c r="AF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D30" i="3"/>
  <c r="E30" i="3"/>
  <c r="F30" i="3"/>
  <c r="G30" i="3"/>
  <c r="G31" i="3" s="1"/>
  <c r="H30" i="3"/>
  <c r="I30" i="3"/>
  <c r="J30" i="3"/>
  <c r="K30" i="3"/>
  <c r="L30" i="3"/>
  <c r="M30" i="3"/>
  <c r="N30" i="3"/>
  <c r="O30" i="3"/>
  <c r="O31" i="3" s="1"/>
  <c r="P30" i="3"/>
  <c r="Q30" i="3"/>
  <c r="R30" i="3"/>
  <c r="S30" i="3"/>
  <c r="T30" i="3"/>
  <c r="U30" i="3"/>
  <c r="V30" i="3"/>
  <c r="W30" i="3"/>
  <c r="W31" i="3" s="1"/>
  <c r="X30" i="3"/>
  <c r="Y30" i="3"/>
  <c r="Z30" i="3"/>
  <c r="AA30" i="3"/>
  <c r="AB30" i="3"/>
  <c r="AC30" i="3"/>
  <c r="AD30" i="3"/>
  <c r="AE30" i="3"/>
  <c r="AE31" i="3" s="1"/>
  <c r="AF30" i="3"/>
  <c r="C27" i="3"/>
  <c r="C28" i="3"/>
  <c r="C29" i="3"/>
  <c r="C30" i="3"/>
  <c r="C26" i="3"/>
  <c r="V31" i="3"/>
  <c r="N31" i="3"/>
  <c r="F31" i="3"/>
  <c r="D25" i="3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D18" i="3"/>
  <c r="E18" i="3"/>
  <c r="F18" i="3"/>
  <c r="G18" i="3"/>
  <c r="H18" i="3"/>
  <c r="I18" i="3"/>
  <c r="I23" i="3" s="1"/>
  <c r="J18" i="3"/>
  <c r="J23" i="3" s="1"/>
  <c r="K18" i="3"/>
  <c r="K23" i="3" s="1"/>
  <c r="L18" i="3"/>
  <c r="M18" i="3"/>
  <c r="N18" i="3"/>
  <c r="O18" i="3"/>
  <c r="P18" i="3"/>
  <c r="Q18" i="3"/>
  <c r="Q23" i="3" s="1"/>
  <c r="R18" i="3"/>
  <c r="R23" i="3" s="1"/>
  <c r="S18" i="3"/>
  <c r="S23" i="3" s="1"/>
  <c r="T18" i="3"/>
  <c r="U18" i="3"/>
  <c r="V18" i="3"/>
  <c r="W18" i="3"/>
  <c r="X18" i="3"/>
  <c r="Y18" i="3"/>
  <c r="Y23" i="3" s="1"/>
  <c r="Z18" i="3"/>
  <c r="Z23" i="3" s="1"/>
  <c r="AA18" i="3"/>
  <c r="AA23" i="3" s="1"/>
  <c r="AB18" i="3"/>
  <c r="AC18" i="3"/>
  <c r="AD18" i="3"/>
  <c r="AE18" i="3"/>
  <c r="AF18" i="3"/>
  <c r="AG18" i="3"/>
  <c r="AG23" i="3" s="1"/>
  <c r="D19" i="3"/>
  <c r="D23" i="3" s="1"/>
  <c r="E19" i="3"/>
  <c r="F19" i="3"/>
  <c r="G19" i="3"/>
  <c r="G23" i="3" s="1"/>
  <c r="H19" i="3"/>
  <c r="I19" i="3"/>
  <c r="J19" i="3"/>
  <c r="K19" i="3"/>
  <c r="L19" i="3"/>
  <c r="L23" i="3" s="1"/>
  <c r="M19" i="3"/>
  <c r="N19" i="3"/>
  <c r="O19" i="3"/>
  <c r="P19" i="3"/>
  <c r="Q19" i="3"/>
  <c r="R19" i="3"/>
  <c r="S19" i="3"/>
  <c r="T19" i="3"/>
  <c r="T23" i="3" s="1"/>
  <c r="U19" i="3"/>
  <c r="V19" i="3"/>
  <c r="W19" i="3"/>
  <c r="X19" i="3"/>
  <c r="Y19" i="3"/>
  <c r="Z19" i="3"/>
  <c r="AA19" i="3"/>
  <c r="AB19" i="3"/>
  <c r="AB23" i="3" s="1"/>
  <c r="AC19" i="3"/>
  <c r="AD19" i="3"/>
  <c r="AE19" i="3"/>
  <c r="AF19" i="3"/>
  <c r="AG19" i="3"/>
  <c r="D20" i="3"/>
  <c r="E20" i="3"/>
  <c r="F20" i="3"/>
  <c r="G20" i="3"/>
  <c r="H20" i="3"/>
  <c r="I20" i="3"/>
  <c r="J20" i="3"/>
  <c r="K20" i="3"/>
  <c r="L20" i="3"/>
  <c r="M20" i="3"/>
  <c r="N20" i="3"/>
  <c r="O20" i="3"/>
  <c r="O23" i="3" s="1"/>
  <c r="P20" i="3"/>
  <c r="Q20" i="3"/>
  <c r="R20" i="3"/>
  <c r="S20" i="3"/>
  <c r="T20" i="3"/>
  <c r="U20" i="3"/>
  <c r="V20" i="3"/>
  <c r="W20" i="3"/>
  <c r="W23" i="3" s="1"/>
  <c r="X20" i="3"/>
  <c r="Y20" i="3"/>
  <c r="Z20" i="3"/>
  <c r="AA20" i="3"/>
  <c r="AB20" i="3"/>
  <c r="AC20" i="3"/>
  <c r="AD20" i="3"/>
  <c r="AE20" i="3"/>
  <c r="AE23" i="3" s="1"/>
  <c r="AF20" i="3"/>
  <c r="AG20" i="3"/>
  <c r="D21" i="3"/>
  <c r="E21" i="3"/>
  <c r="F21" i="3"/>
  <c r="G21" i="3"/>
  <c r="H21" i="3"/>
  <c r="H23" i="3" s="1"/>
  <c r="I21" i="3"/>
  <c r="J21" i="3"/>
  <c r="K21" i="3"/>
  <c r="L21" i="3"/>
  <c r="M21" i="3"/>
  <c r="N21" i="3"/>
  <c r="O21" i="3"/>
  <c r="P21" i="3"/>
  <c r="P23" i="3" s="1"/>
  <c r="Q21" i="3"/>
  <c r="R21" i="3"/>
  <c r="S21" i="3"/>
  <c r="T21" i="3"/>
  <c r="U21" i="3"/>
  <c r="V21" i="3"/>
  <c r="W21" i="3"/>
  <c r="X21" i="3"/>
  <c r="X23" i="3" s="1"/>
  <c r="Y21" i="3"/>
  <c r="Z21" i="3"/>
  <c r="AA21" i="3"/>
  <c r="AB21" i="3"/>
  <c r="AC21" i="3"/>
  <c r="AD21" i="3"/>
  <c r="AE21" i="3"/>
  <c r="AF21" i="3"/>
  <c r="AF23" i="3" s="1"/>
  <c r="AG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C19" i="3"/>
  <c r="C20" i="3"/>
  <c r="C21" i="3"/>
  <c r="C22" i="3"/>
  <c r="C18" i="3"/>
  <c r="AD23" i="3"/>
  <c r="AC23" i="3"/>
  <c r="V23" i="3"/>
  <c r="U23" i="3"/>
  <c r="N23" i="3"/>
  <c r="M23" i="3"/>
  <c r="F23" i="3"/>
  <c r="E23" i="3"/>
  <c r="D17" i="3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D10" i="3"/>
  <c r="E10" i="3"/>
  <c r="F10" i="3"/>
  <c r="G10" i="3"/>
  <c r="H10" i="3"/>
  <c r="H15" i="3" s="1"/>
  <c r="I10" i="3"/>
  <c r="I15" i="3" s="1"/>
  <c r="J10" i="3"/>
  <c r="K10" i="3"/>
  <c r="K15" i="3" s="1"/>
  <c r="L10" i="3"/>
  <c r="M10" i="3"/>
  <c r="N10" i="3"/>
  <c r="O10" i="3"/>
  <c r="P10" i="3"/>
  <c r="Q10" i="3"/>
  <c r="Q15" i="3" s="1"/>
  <c r="R10" i="3"/>
  <c r="R15" i="3" s="1"/>
  <c r="S10" i="3"/>
  <c r="S15" i="3" s="1"/>
  <c r="T10" i="3"/>
  <c r="U10" i="3"/>
  <c r="V10" i="3"/>
  <c r="W10" i="3"/>
  <c r="X10" i="3"/>
  <c r="Y10" i="3"/>
  <c r="Y15" i="3" s="1"/>
  <c r="Z10" i="3"/>
  <c r="Z15" i="3" s="1"/>
  <c r="AA10" i="3"/>
  <c r="AA15" i="3" s="1"/>
  <c r="AB10" i="3"/>
  <c r="AC10" i="3"/>
  <c r="AD10" i="3"/>
  <c r="D11" i="3"/>
  <c r="E11" i="3"/>
  <c r="E15" i="3" s="1"/>
  <c r="F11" i="3"/>
  <c r="G11" i="3"/>
  <c r="H11" i="3"/>
  <c r="I11" i="3"/>
  <c r="J11" i="3"/>
  <c r="K11" i="3"/>
  <c r="L11" i="3"/>
  <c r="L15" i="3" s="1"/>
  <c r="M11" i="3"/>
  <c r="N11" i="3"/>
  <c r="O11" i="3"/>
  <c r="P11" i="3"/>
  <c r="Q11" i="3"/>
  <c r="R11" i="3"/>
  <c r="S11" i="3"/>
  <c r="T11" i="3"/>
  <c r="T15" i="3" s="1"/>
  <c r="U11" i="3"/>
  <c r="V11" i="3"/>
  <c r="W11" i="3"/>
  <c r="X11" i="3"/>
  <c r="Y11" i="3"/>
  <c r="Z11" i="3"/>
  <c r="AA11" i="3"/>
  <c r="AB11" i="3"/>
  <c r="AB15" i="3" s="1"/>
  <c r="AC11" i="3"/>
  <c r="AD11" i="3"/>
  <c r="D12" i="3"/>
  <c r="E12" i="3"/>
  <c r="F12" i="3"/>
  <c r="F15" i="3" s="1"/>
  <c r="G12" i="3"/>
  <c r="G15" i="3" s="1"/>
  <c r="H12" i="3"/>
  <c r="I12" i="3"/>
  <c r="J12" i="3"/>
  <c r="K12" i="3"/>
  <c r="L12" i="3"/>
  <c r="M12" i="3"/>
  <c r="N12" i="3"/>
  <c r="O12" i="3"/>
  <c r="O15" i="3" s="1"/>
  <c r="P12" i="3"/>
  <c r="P15" i="3" s="1"/>
  <c r="Q12" i="3"/>
  <c r="R12" i="3"/>
  <c r="S12" i="3"/>
  <c r="T12" i="3"/>
  <c r="U12" i="3"/>
  <c r="V12" i="3"/>
  <c r="W12" i="3"/>
  <c r="W15" i="3" s="1"/>
  <c r="X12" i="3"/>
  <c r="X15" i="3" s="1"/>
  <c r="Y12" i="3"/>
  <c r="Z12" i="3"/>
  <c r="AA12" i="3"/>
  <c r="AB12" i="3"/>
  <c r="AC12" i="3"/>
  <c r="AD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C11" i="3"/>
  <c r="C12" i="3"/>
  <c r="C13" i="3"/>
  <c r="C14" i="3"/>
  <c r="C10" i="3"/>
  <c r="AD15" i="3"/>
  <c r="AC15" i="3"/>
  <c r="V15" i="3"/>
  <c r="U15" i="3"/>
  <c r="N15" i="3"/>
  <c r="M15" i="3"/>
  <c r="D15" i="3"/>
  <c r="D9" i="3"/>
  <c r="E9" i="3" s="1"/>
  <c r="F9" i="3" s="1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B7" i="3"/>
  <c r="B3" i="3"/>
  <c r="B4" i="3"/>
  <c r="B5" i="3"/>
  <c r="B6" i="3"/>
  <c r="B2" i="3"/>
  <c r="C3" i="3"/>
  <c r="C4" i="3"/>
  <c r="C5" i="3"/>
  <c r="D5" i="3"/>
  <c r="C6" i="3"/>
  <c r="D6" i="3"/>
  <c r="C2" i="3"/>
  <c r="D1" i="3"/>
  <c r="D4" i="3" s="1"/>
  <c r="C3" i="2"/>
  <c r="D3" i="2"/>
  <c r="E3" i="2"/>
  <c r="F3" i="2"/>
  <c r="C4" i="2"/>
  <c r="D4" i="2"/>
  <c r="E4" i="2"/>
  <c r="F4" i="2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C11" i="2"/>
  <c r="D11" i="2"/>
  <c r="E11" i="2"/>
  <c r="F11" i="2"/>
  <c r="C12" i="2"/>
  <c r="D12" i="2"/>
  <c r="E12" i="2"/>
  <c r="F12" i="2"/>
  <c r="B4" i="2"/>
  <c r="B5" i="2"/>
  <c r="B6" i="2"/>
  <c r="B7" i="2"/>
  <c r="G7" i="2" s="1"/>
  <c r="B8" i="2"/>
  <c r="B9" i="2"/>
  <c r="B10" i="2"/>
  <c r="B11" i="2"/>
  <c r="G11" i="2" s="1"/>
  <c r="B12" i="2"/>
  <c r="B3" i="2"/>
  <c r="K20" i="2" l="1"/>
  <c r="B46" i="3"/>
  <c r="B45" i="3"/>
  <c r="C47" i="3"/>
  <c r="B42" i="3"/>
  <c r="D47" i="3"/>
  <c r="AG37" i="3"/>
  <c r="AG36" i="3"/>
  <c r="B36" i="3" s="1"/>
  <c r="AG35" i="3"/>
  <c r="AG39" i="3" s="1"/>
  <c r="B37" i="3"/>
  <c r="D39" i="3"/>
  <c r="B38" i="3"/>
  <c r="B27" i="3"/>
  <c r="D31" i="3"/>
  <c r="B30" i="3"/>
  <c r="C31" i="3"/>
  <c r="B29" i="3"/>
  <c r="B26" i="3"/>
  <c r="B21" i="3"/>
  <c r="B20" i="3"/>
  <c r="B19" i="3"/>
  <c r="B22" i="3"/>
  <c r="C23" i="3"/>
  <c r="B18" i="3"/>
  <c r="B13" i="3"/>
  <c r="B12" i="3"/>
  <c r="B14" i="3"/>
  <c r="B11" i="3"/>
  <c r="C15" i="3"/>
  <c r="B10" i="3"/>
  <c r="J15" i="3"/>
  <c r="E1" i="3"/>
  <c r="D2" i="3"/>
  <c r="D3" i="3"/>
  <c r="G9" i="2"/>
  <c r="G8" i="2"/>
  <c r="G10" i="2"/>
  <c r="G6" i="2"/>
  <c r="G3" i="2"/>
  <c r="G5" i="2"/>
  <c r="G12" i="2"/>
  <c r="G4" i="2"/>
  <c r="L20" i="2" l="1"/>
  <c r="M20" i="2" s="1"/>
  <c r="B47" i="3"/>
  <c r="B31" i="3"/>
  <c r="B35" i="3"/>
  <c r="B23" i="3"/>
  <c r="B15" i="3"/>
  <c r="E5" i="3"/>
  <c r="E4" i="3"/>
  <c r="E3" i="3"/>
  <c r="E6" i="3"/>
  <c r="E2" i="3"/>
  <c r="F1" i="3"/>
  <c r="F6" i="3" l="1"/>
  <c r="F5" i="3"/>
  <c r="F4" i="3"/>
  <c r="F3" i="3"/>
  <c r="F2" i="3"/>
  <c r="G1" i="3"/>
  <c r="G6" i="3" l="1"/>
  <c r="G5" i="3"/>
  <c r="G4" i="3"/>
  <c r="G3" i="3"/>
  <c r="G2" i="3"/>
  <c r="H1" i="3"/>
  <c r="H2" i="3" l="1"/>
  <c r="I1" i="3"/>
  <c r="H6" i="3"/>
  <c r="H5" i="3"/>
  <c r="H4" i="3"/>
  <c r="H3" i="3"/>
  <c r="I2" i="3" l="1"/>
  <c r="J1" i="3"/>
  <c r="I6" i="3"/>
  <c r="I5" i="3"/>
  <c r="I4" i="3"/>
  <c r="I3" i="3"/>
  <c r="J2" i="3" l="1"/>
  <c r="K1" i="3"/>
  <c r="J6" i="3"/>
  <c r="J5" i="3"/>
  <c r="J4" i="3"/>
  <c r="J3" i="3"/>
  <c r="K3" i="3" l="1"/>
  <c r="K2" i="3"/>
  <c r="K4" i="3"/>
  <c r="L1" i="3"/>
  <c r="K5" i="3"/>
  <c r="K6" i="3"/>
  <c r="M1" i="3" l="1"/>
  <c r="L4" i="3"/>
  <c r="L3" i="3"/>
  <c r="L2" i="3"/>
  <c r="L5" i="3"/>
  <c r="L6" i="3"/>
  <c r="N1" i="3" l="1"/>
  <c r="M5" i="3"/>
  <c r="M4" i="3"/>
  <c r="M3" i="3"/>
  <c r="M2" i="3"/>
  <c r="M6" i="3"/>
  <c r="O1" i="3" l="1"/>
  <c r="N6" i="3"/>
  <c r="N5" i="3"/>
  <c r="N4" i="3"/>
  <c r="N3" i="3"/>
  <c r="N2" i="3"/>
  <c r="P1" i="3" l="1"/>
  <c r="O6" i="3"/>
  <c r="O5" i="3"/>
  <c r="O4" i="3"/>
  <c r="O3" i="3"/>
  <c r="O2" i="3"/>
  <c r="Q1" i="3" l="1"/>
  <c r="P2" i="3"/>
  <c r="P6" i="3"/>
  <c r="P5" i="3"/>
  <c r="P4" i="3"/>
  <c r="P3" i="3"/>
  <c r="Q2" i="3" l="1"/>
  <c r="Q6" i="3"/>
  <c r="R1" i="3"/>
  <c r="Q5" i="3"/>
  <c r="Q4" i="3"/>
  <c r="Q3" i="3"/>
  <c r="S1" i="3" l="1"/>
  <c r="R2" i="3"/>
  <c r="R6" i="3"/>
  <c r="R5" i="3"/>
  <c r="R4" i="3"/>
  <c r="R3" i="3"/>
  <c r="T1" i="3" l="1"/>
  <c r="S3" i="3"/>
  <c r="S2" i="3"/>
  <c r="S4" i="3"/>
  <c r="S6" i="3"/>
  <c r="S5" i="3"/>
  <c r="U1" i="3" l="1"/>
  <c r="T4" i="3"/>
  <c r="T3" i="3"/>
  <c r="T2" i="3"/>
  <c r="T6" i="3"/>
  <c r="T5" i="3"/>
  <c r="V1" i="3" l="1"/>
  <c r="U5" i="3"/>
  <c r="U4" i="3"/>
  <c r="U3" i="3"/>
  <c r="U6" i="3"/>
  <c r="U2" i="3"/>
  <c r="W1" i="3" l="1"/>
  <c r="V6" i="3"/>
  <c r="V5" i="3"/>
  <c r="V4" i="3"/>
  <c r="V3" i="3"/>
  <c r="V2" i="3"/>
  <c r="X1" i="3" l="1"/>
  <c r="W6" i="3"/>
  <c r="W5" i="3"/>
  <c r="W4" i="3"/>
  <c r="W3" i="3"/>
  <c r="W2" i="3"/>
  <c r="Y1" i="3" l="1"/>
  <c r="X2" i="3"/>
  <c r="X6" i="3"/>
  <c r="X5" i="3"/>
  <c r="X4" i="3"/>
  <c r="X3" i="3"/>
  <c r="Y2" i="3" l="1"/>
  <c r="Y6" i="3"/>
  <c r="Z1" i="3"/>
  <c r="Y5" i="3"/>
  <c r="Y4" i="3"/>
  <c r="Y3" i="3"/>
  <c r="Z2" i="3" l="1"/>
  <c r="Z6" i="3"/>
  <c r="AA1" i="3"/>
  <c r="Z5" i="3"/>
  <c r="Z4" i="3"/>
  <c r="Z3" i="3"/>
  <c r="AA3" i="3" l="1"/>
  <c r="AA2" i="3"/>
  <c r="AA4" i="3"/>
  <c r="AA5" i="3"/>
  <c r="AA6" i="3"/>
  <c r="AB1" i="3"/>
  <c r="AB4" i="3" l="1"/>
  <c r="AB3" i="3"/>
  <c r="AB2" i="3"/>
  <c r="AB5" i="3"/>
  <c r="AB6" i="3"/>
  <c r="AC1" i="3"/>
  <c r="AC5" i="3" l="1"/>
  <c r="AC4" i="3"/>
  <c r="AC3" i="3"/>
  <c r="AC6" i="3"/>
  <c r="AD1" i="3"/>
  <c r="AC2" i="3"/>
  <c r="AD6" i="3" l="1"/>
  <c r="AE1" i="3"/>
  <c r="AD5" i="3"/>
  <c r="AD4" i="3"/>
  <c r="AD3" i="3"/>
  <c r="AD2" i="3"/>
  <c r="AE6" i="3" l="1"/>
  <c r="AF1" i="3"/>
  <c r="AE5" i="3"/>
  <c r="AE4" i="3"/>
  <c r="AE3" i="3"/>
  <c r="AE2" i="3"/>
  <c r="AF2" i="3" l="1"/>
  <c r="AF6" i="3"/>
  <c r="AG1" i="3"/>
  <c r="AF5" i="3"/>
  <c r="AF4" i="3"/>
  <c r="AF3" i="3"/>
  <c r="AG2" i="3" l="1"/>
  <c r="AG6" i="3"/>
  <c r="AG5" i="3"/>
  <c r="AG4" i="3"/>
  <c r="AG3" i="3"/>
  <c r="B34" i="3"/>
  <c r="B39" i="3" s="1"/>
  <c r="C39" i="3"/>
</calcChain>
</file>

<file path=xl/sharedStrings.xml><?xml version="1.0" encoding="utf-8"?>
<sst xmlns="http://schemas.openxmlformats.org/spreadsheetml/2006/main" count="4090" uniqueCount="1050">
  <si>
    <t>Order_ID</t>
  </si>
  <si>
    <t>Product</t>
  </si>
  <si>
    <t>Category</t>
  </si>
  <si>
    <t>Quantity</t>
  </si>
  <si>
    <t>Price</t>
  </si>
  <si>
    <t>City</t>
  </si>
  <si>
    <t>Date</t>
  </si>
  <si>
    <t>ORD1001</t>
  </si>
  <si>
    <t>Backpack</t>
  </si>
  <si>
    <t>Accessories</t>
  </si>
  <si>
    <t>Hyderabad</t>
  </si>
  <si>
    <t>ORD1002</t>
  </si>
  <si>
    <t>Keyboard</t>
  </si>
  <si>
    <t>Electronics</t>
  </si>
  <si>
    <t>Surat</t>
  </si>
  <si>
    <t>ORD1003</t>
  </si>
  <si>
    <t>Book</t>
  </si>
  <si>
    <t>Books</t>
  </si>
  <si>
    <t>Mumbai</t>
  </si>
  <si>
    <t>ORD1004</t>
  </si>
  <si>
    <t>ORD1005</t>
  </si>
  <si>
    <t>Tablet</t>
  </si>
  <si>
    <t>Jaipur</t>
  </si>
  <si>
    <t>ORD1006</t>
  </si>
  <si>
    <t>T-Shirt</t>
  </si>
  <si>
    <t>Fashion</t>
  </si>
  <si>
    <t>Delhi</t>
  </si>
  <si>
    <t>ORD1007</t>
  </si>
  <si>
    <t>Watch</t>
  </si>
  <si>
    <t>Bangalore</t>
  </si>
  <si>
    <t>ORD1008</t>
  </si>
  <si>
    <t>Smartphone</t>
  </si>
  <si>
    <t>Pune</t>
  </si>
  <si>
    <t>ORD1009</t>
  </si>
  <si>
    <t>ORD1010</t>
  </si>
  <si>
    <t>ORD1011</t>
  </si>
  <si>
    <t>ORD1012</t>
  </si>
  <si>
    <t>ORD1013</t>
  </si>
  <si>
    <t>Air Fryer</t>
  </si>
  <si>
    <t>Home Appliances</t>
  </si>
  <si>
    <t>ORD1014</t>
  </si>
  <si>
    <t>ORD1015</t>
  </si>
  <si>
    <t>ORD1016</t>
  </si>
  <si>
    <t>ORD1017</t>
  </si>
  <si>
    <t>Mixer</t>
  </si>
  <si>
    <t>ORD1018</t>
  </si>
  <si>
    <t>Ahmedabad</t>
  </si>
  <si>
    <t>ORD1019</t>
  </si>
  <si>
    <t>Chennai</t>
  </si>
  <si>
    <t>ORD1020</t>
  </si>
  <si>
    <t>Kolkata</t>
  </si>
  <si>
    <t>ORD1021</t>
  </si>
  <si>
    <t>ORD1022</t>
  </si>
  <si>
    <t>ORD1023</t>
  </si>
  <si>
    <t>ORD1024</t>
  </si>
  <si>
    <t>Shoes</t>
  </si>
  <si>
    <t>ORD1025</t>
  </si>
  <si>
    <t>ORD1026</t>
  </si>
  <si>
    <t>ORD1027</t>
  </si>
  <si>
    <t>ORD1028</t>
  </si>
  <si>
    <t>ORD1029</t>
  </si>
  <si>
    <t>ORD1030</t>
  </si>
  <si>
    <t>Jeans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</si>
  <si>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</si>
  <si>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</si>
  <si>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</si>
  <si>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</si>
  <si>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</si>
  <si>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</si>
  <si>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</si>
  <si>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</si>
  <si>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</si>
  <si>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Headphones</t>
  </si>
  <si>
    <t>ORD1040</t>
  </si>
  <si>
    <t>ORD1041</t>
  </si>
  <si>
    <t>ORD1042</t>
  </si>
  <si>
    <t>ORD1043</t>
  </si>
  <si>
    <t>ORD1044</t>
  </si>
  <si>
    <t>ORD1045</t>
  </si>
  <si>
    <t>ORD1046</t>
  </si>
  <si>
    <t>Coffee Maker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</si>
  <si>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</si>
  <si>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</si>
  <si>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</si>
  <si>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</si>
  <si>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</si>
  <si>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</si>
  <si>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</si>
  <si>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</si>
  <si>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</si>
  <si>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</si>
  <si>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Laptop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</si>
  <si>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</si>
  <si>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</si>
  <si>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</si>
  <si>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</si>
  <si>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</si>
  <si>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</si>
  <si>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</si>
  <si>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</si>
  <si>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</si>
  <si>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</si>
  <si>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</si>
  <si>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</si>
  <si>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</si>
  <si>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</si>
  <si>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</si>
  <si>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</si>
  <si>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</si>
  <si>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</si>
  <si>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</si>
  <si>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</si>
  <si>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</si>
  <si>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</si>
  <si>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</si>
  <si>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</si>
  <si>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</si>
  <si>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</si>
  <si>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</si>
  <si>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</si>
  <si>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</si>
  <si>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</si>
  <si>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</si>
  <si>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</si>
  <si>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</si>
  <si>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</si>
  <si>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</si>
  <si>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</si>
  <si>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</si>
  <si>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</si>
  <si>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</si>
  <si>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</si>
  <si>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</si>
  <si>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</si>
  <si>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</si>
  <si>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</si>
  <si>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</si>
  <si>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</si>
  <si>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</si>
  <si>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</si>
  <si>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</si>
  <si>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</si>
  <si>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</si>
  <si>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</si>
  <si>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</si>
  <si>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</si>
  <si>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</si>
  <si>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</si>
  <si>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</si>
  <si>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</si>
  <si>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</si>
  <si>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</si>
  <si>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</si>
  <si>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</si>
  <si>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</si>
  <si>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</si>
  <si>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</si>
  <si>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</si>
  <si>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</si>
  <si>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</si>
  <si>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</si>
  <si>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</si>
  <si>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</si>
  <si>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</si>
  <si>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</si>
  <si>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</si>
  <si>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</si>
  <si>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</si>
  <si>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</si>
  <si>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</si>
  <si>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</si>
  <si>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</si>
  <si>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</si>
  <si>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</si>
  <si>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</si>
  <si>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</si>
  <si>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</si>
  <si>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</si>
  <si>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</si>
  <si>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</si>
  <si>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</si>
  <si>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</si>
  <si>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</si>
  <si>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</si>
  <si>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</si>
  <si>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</si>
  <si>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</si>
  <si>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</si>
  <si>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</si>
  <si>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</si>
  <si>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</si>
  <si>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</si>
  <si>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</si>
  <si>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</si>
  <si>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</si>
  <si>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</si>
  <si>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</si>
  <si>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</si>
  <si>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</si>
  <si>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</si>
  <si>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</si>
  <si>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</si>
  <si>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</si>
  <si>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</si>
  <si>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</si>
  <si>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</si>
  <si>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</si>
  <si>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</si>
  <si>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</si>
  <si>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</si>
  <si>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</si>
  <si>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</si>
  <si>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</si>
  <si>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</si>
  <si>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</si>
  <si>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</si>
  <si>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</si>
  <si>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</si>
  <si>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</si>
  <si>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</si>
  <si>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</si>
  <si>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</si>
  <si>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</si>
  <si>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</si>
  <si>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</si>
  <si>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</si>
  <si>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</si>
  <si>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</si>
  <si>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</si>
  <si>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</si>
  <si>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</si>
  <si>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</si>
  <si>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</si>
  <si>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</si>
  <si>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</si>
  <si>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</si>
  <si>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</si>
  <si>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</si>
  <si>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</si>
  <si>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</si>
  <si>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</si>
  <si>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</si>
  <si>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</si>
  <si>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</si>
  <si>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</si>
  <si>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</si>
  <si>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</si>
  <si>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</si>
  <si>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</si>
  <si>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</si>
  <si>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</si>
  <si>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</si>
  <si>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</si>
  <si>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</si>
  <si>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</si>
  <si>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</si>
  <si>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</si>
  <si>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</si>
  <si>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</si>
  <si>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</si>
  <si>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</si>
  <si>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</si>
  <si>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</si>
  <si>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</si>
  <si>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</si>
  <si>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</si>
  <si>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</si>
  <si>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</si>
  <si>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</si>
  <si>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</si>
  <si>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</si>
  <si>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</si>
  <si>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</si>
  <si>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</si>
  <si>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</si>
  <si>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</si>
  <si>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</si>
  <si>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</si>
  <si>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</si>
  <si>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</si>
  <si>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</si>
  <si>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</si>
  <si>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</si>
  <si>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</si>
  <si>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</si>
  <si>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</si>
  <si>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</si>
  <si>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</si>
  <si>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</si>
  <si>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</si>
  <si>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</si>
  <si>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</si>
  <si>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</si>
  <si>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</si>
  <si>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</si>
  <si>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</si>
  <si>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</si>
  <si>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</si>
  <si>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</si>
  <si>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</si>
  <si>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</si>
  <si>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</si>
  <si>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</si>
  <si>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</si>
  <si>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</si>
  <si>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</si>
  <si>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</si>
  <si>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</si>
  <si>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</si>
  <si>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</si>
  <si>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</si>
  <si>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</si>
  <si>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</si>
  <si>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</si>
  <si>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</si>
  <si>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</si>
  <si>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</si>
  <si>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</si>
  <si>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</si>
  <si>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</si>
  <si>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</si>
  <si>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</si>
  <si>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</si>
  <si>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</si>
  <si>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</si>
  <si>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</si>
  <si>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</si>
  <si>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</si>
  <si>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</si>
  <si>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</si>
  <si>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</si>
  <si>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</si>
  <si>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</si>
  <si>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</si>
  <si>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</si>
  <si>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</si>
  <si>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</si>
  <si>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</si>
  <si>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</si>
  <si>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</si>
  <si>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</si>
  <si>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</si>
  <si>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</si>
  <si>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</si>
  <si>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</si>
  <si>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</si>
  <si>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</si>
  <si>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</si>
  <si>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</si>
  <si>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</si>
  <si>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</si>
  <si>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</si>
  <si>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</si>
  <si>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</si>
  <si>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</si>
  <si>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</si>
  <si>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</si>
  <si>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</si>
  <si>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</si>
  <si>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</si>
  <si>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</si>
  <si>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</si>
  <si>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</si>
  <si>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</si>
  <si>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</si>
  <si>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</si>
  <si>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</si>
  <si>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</si>
  <si>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</si>
  <si>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</si>
  <si>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</si>
  <si>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</si>
  <si>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</si>
  <si>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</si>
  <si>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</si>
  <si>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</si>
  <si>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</si>
  <si>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</si>
  <si>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</si>
  <si>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</si>
  <si>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</si>
  <si>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</si>
  <si>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</si>
  <si>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</si>
  <si>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</si>
  <si>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</si>
  <si>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</si>
  <si>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</si>
  <si>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</si>
  <si>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</si>
  <si>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</si>
  <si>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</si>
  <si>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</si>
  <si>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</si>
  <si>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</si>
  <si>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</si>
  <si>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</si>
  <si>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</si>
  <si>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</si>
  <si>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</si>
  <si>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</si>
  <si>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</si>
  <si>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</si>
  <si>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</si>
  <si>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</si>
  <si>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</si>
  <si>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</si>
  <si>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</si>
  <si>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</si>
  <si>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</si>
  <si>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</si>
  <si>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</si>
  <si>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</si>
  <si>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</si>
  <si>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</si>
  <si>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</si>
  <si>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</si>
  <si>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</si>
  <si>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</si>
  <si>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</si>
  <si>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</si>
  <si>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</si>
  <si>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</si>
  <si>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</si>
  <si>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</si>
  <si>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</si>
  <si>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</si>
  <si>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</si>
  <si>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</si>
  <si>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</si>
  <si>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</si>
  <si>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</si>
  <si>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</si>
  <si>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</si>
  <si>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</si>
  <si>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</si>
  <si>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</si>
  <si>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</si>
  <si>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</si>
  <si>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</si>
  <si>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</si>
  <si>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</si>
  <si>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</si>
  <si>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</si>
  <si>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</si>
  <si>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</si>
  <si>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</si>
  <si>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</si>
  <si>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</si>
  <si>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</si>
  <si>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</si>
  <si>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</si>
  <si>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</si>
  <si>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</si>
  <si>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</si>
  <si>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</si>
  <si>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</si>
  <si>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</si>
  <si>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</si>
  <si>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</si>
  <si>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</si>
  <si>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</si>
  <si>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</si>
  <si>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</si>
  <si>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</si>
  <si>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</si>
  <si>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</si>
  <si>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</si>
  <si>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</si>
  <si>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</si>
  <si>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</si>
  <si>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</si>
  <si>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</si>
  <si>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</si>
  <si>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</si>
  <si>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</si>
  <si>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</si>
  <si>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</si>
  <si>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</si>
  <si>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</si>
  <si>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</si>
  <si>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</si>
  <si>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</si>
  <si>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</si>
  <si>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</si>
  <si>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</si>
  <si>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</si>
  <si>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</si>
  <si>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</si>
  <si>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</si>
  <si>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</si>
  <si>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</si>
  <si>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</si>
  <si>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</si>
  <si>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</si>
  <si>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</si>
  <si>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</si>
  <si>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</si>
  <si>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</si>
  <si>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</si>
  <si>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</si>
  <si>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</si>
  <si>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</si>
  <si>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</si>
  <si>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</si>
  <si>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</si>
  <si>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</si>
  <si>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</si>
  <si>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</si>
  <si>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</si>
  <si>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</si>
  <si>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</si>
  <si>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</si>
  <si>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</si>
  <si>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</si>
  <si>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</si>
  <si>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</si>
  <si>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</si>
  <si>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</si>
  <si>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</si>
  <si>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</si>
  <si>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</si>
  <si>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</si>
  <si>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</si>
  <si>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</si>
  <si>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</si>
  <si>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</si>
  <si>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</si>
  <si>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</si>
  <si>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</si>
  <si>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</si>
  <si>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</si>
  <si>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</si>
  <si>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</si>
  <si>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</si>
  <si>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</si>
  <si>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</si>
  <si>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</si>
  <si>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</si>
  <si>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</si>
  <si>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</si>
  <si>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</si>
  <si>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</si>
  <si>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</si>
  <si>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</si>
  <si>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</si>
  <si>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</si>
  <si>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</si>
  <si>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</si>
  <si>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</si>
  <si>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</si>
  <si>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</si>
  <si>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</si>
  <si>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</si>
  <si>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</si>
  <si>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</si>
  <si>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</si>
  <si>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</si>
  <si>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</si>
  <si>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</si>
  <si>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</si>
  <si>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</si>
  <si>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</si>
  <si>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</si>
  <si>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</si>
  <si>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</si>
  <si>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</si>
  <si>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</si>
  <si>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</si>
  <si>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</si>
  <si>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</si>
  <si>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</si>
  <si>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</si>
  <si>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</si>
  <si>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</si>
  <si>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</si>
  <si>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</si>
  <si>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</si>
  <si>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</si>
  <si>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</si>
  <si>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</si>
  <si>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</si>
  <si>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</si>
  <si>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</si>
  <si>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</si>
  <si>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</si>
  <si>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</si>
  <si>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</si>
  <si>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</si>
  <si>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</si>
  <si>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</si>
  <si>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</si>
  <si>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</si>
  <si>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</si>
  <si>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</si>
  <si>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</si>
  <si>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</si>
  <si>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</si>
  <si>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</si>
  <si>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</si>
  <si>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</si>
  <si>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</si>
  <si>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</si>
  <si>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</si>
  <si>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</si>
  <si>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</si>
  <si>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</si>
  <si>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</si>
  <si>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</si>
  <si>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</si>
  <si>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</si>
  <si>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</si>
  <si>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</si>
  <si>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</si>
  <si>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</si>
  <si>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</si>
  <si>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</si>
  <si>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</si>
  <si>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</si>
  <si>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</si>
  <si>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</si>
  <si>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</si>
  <si>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</si>
  <si>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</si>
  <si>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</si>
  <si>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</si>
  <si>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</si>
  <si>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</si>
  <si>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</si>
  <si>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</si>
  <si>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</si>
  <si>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</si>
  <si>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</si>
  <si>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</si>
  <si>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</si>
  <si>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</si>
  <si>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</si>
  <si>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</si>
  <si>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</si>
  <si>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</si>
  <si>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</si>
  <si>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</si>
  <si>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</si>
  <si>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</si>
  <si>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</si>
  <si>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</si>
  <si>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</si>
  <si>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</si>
  <si>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</si>
  <si>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</si>
  <si>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</si>
  <si>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</si>
  <si>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</si>
  <si>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</si>
  <si>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</si>
  <si>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</si>
  <si>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</si>
  <si>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</si>
  <si>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</si>
  <si>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</si>
  <si>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</si>
  <si>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</si>
  <si>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</si>
  <si>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</si>
  <si>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</si>
  <si>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</si>
  <si>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</si>
  <si>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</si>
  <si>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</si>
  <si>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</si>
  <si>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</si>
  <si>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</si>
  <si>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</si>
  <si>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</si>
  <si>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</si>
  <si>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</si>
  <si>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</si>
  <si>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</si>
  <si>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</si>
  <si>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</si>
  <si>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</si>
  <si>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</si>
  <si>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</si>
  <si>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</si>
  <si>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</si>
  <si>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</si>
  <si>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</si>
  <si>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</si>
  <si>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</si>
  <si>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</si>
  <si>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</si>
  <si>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</si>
  <si>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</si>
  <si>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</si>
  <si>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</si>
  <si>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</si>
  <si>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</si>
  <si>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</si>
  <si>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</si>
  <si>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</si>
  <si>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</si>
  <si>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</si>
  <si>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</si>
  <si>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</si>
  <si>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</si>
  <si>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</si>
  <si>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</si>
  <si>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</si>
  <si>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</si>
  <si>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</si>
  <si>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</si>
  <si>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</si>
  <si>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</si>
  <si>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</si>
  <si>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</si>
  <si>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</si>
  <si>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</si>
  <si>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</si>
  <si>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</si>
  <si>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</si>
  <si>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</si>
  <si>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</si>
  <si>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</si>
  <si>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</si>
  <si>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</si>
  <si>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</si>
  <si>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</si>
  <si>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</si>
  <si>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</si>
  <si>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</si>
  <si>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</si>
  <si>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</si>
  <si>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</si>
  <si>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</si>
  <si>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</si>
  <si>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</si>
  <si>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</si>
  <si>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</si>
  <si>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</si>
  <si>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</si>
  <si>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</si>
  <si>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</si>
  <si>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</si>
  <si>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</si>
  <si>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</si>
  <si>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</si>
  <si>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</si>
  <si>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</si>
  <si>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</si>
  <si>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</si>
  <si>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</si>
  <si>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</si>
  <si>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</si>
  <si>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</si>
  <si>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</si>
  <si>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</si>
  <si>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</si>
  <si>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</si>
  <si>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</si>
  <si>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</si>
  <si>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</si>
  <si>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</si>
  <si>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</si>
  <si>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</si>
  <si>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</si>
  <si>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</si>
  <si>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</si>
  <si>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</si>
  <si>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</si>
  <si>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</si>
  <si>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</si>
  <si>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</si>
  <si>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</si>
  <si>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</si>
  <si>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</si>
  <si>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</si>
  <si>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</si>
  <si>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</si>
  <si>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</si>
  <si>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</si>
  <si>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</si>
  <si>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</si>
  <si>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</si>
  <si>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</si>
  <si>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</si>
  <si>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</si>
  <si>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</si>
  <si>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</si>
  <si>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</si>
  <si>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</si>
  <si>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</si>
  <si>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</si>
  <si>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</si>
  <si>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</si>
  <si>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</si>
  <si>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</si>
  <si>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</si>
  <si>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</si>
  <si>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</si>
  <si>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</si>
  <si>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</si>
  <si>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</si>
  <si>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</si>
  <si>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</si>
  <si>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</si>
  <si>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</si>
  <si>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</si>
  <si>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</si>
  <si>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</si>
  <si>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</si>
  <si>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</si>
  <si>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</si>
  <si>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</si>
  <si>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</si>
  <si>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</si>
  <si>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</si>
  <si>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</si>
  <si>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</si>
  <si>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</si>
  <si>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</si>
  <si>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</si>
  <si>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</si>
  <si>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</si>
  <si>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</si>
  <si>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</si>
  <si>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</si>
  <si>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</si>
  <si>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</si>
  <si>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</si>
  <si>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</si>
  <si>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</si>
  <si>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</si>
  <si>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</si>
  <si>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</si>
  <si>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</si>
  <si>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</si>
  <si>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</si>
  <si>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</si>
  <si>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</si>
  <si>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</si>
  <si>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</si>
  <si>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</si>
  <si>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</si>
  <si>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</si>
  <si>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</si>
  <si>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</si>
  <si>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</si>
  <si>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</si>
  <si>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</si>
  <si>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</si>
  <si>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</si>
  <si>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</si>
  <si>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</si>
  <si>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</si>
  <si>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</si>
  <si>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</si>
  <si>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</si>
  <si>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</si>
  <si>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</si>
  <si>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</si>
  <si>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</si>
  <si>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</si>
  <si>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</si>
  <si>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</si>
  <si>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</si>
  <si>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</si>
  <si>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</si>
  <si>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</si>
  <si>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</si>
  <si>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</si>
  <si>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</si>
  <si>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</si>
  <si>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</si>
  <si>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</si>
  <si>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</si>
  <si>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</si>
  <si>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</si>
  <si>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</si>
  <si>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</si>
  <si>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</si>
  <si>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</si>
  <si>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</si>
  <si>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</si>
  <si>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</si>
  <si>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</si>
  <si>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</si>
  <si>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</si>
  <si>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</si>
  <si>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</si>
  <si>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</si>
  <si>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</si>
  <si>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</si>
  <si>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</si>
  <si>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</si>
  <si>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</si>
  <si>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</si>
  <si>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</si>
  <si>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</si>
  <si>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</si>
  <si>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</si>
  <si>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</si>
  <si>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</si>
  <si>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</si>
  <si>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</si>
  <si>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</si>
  <si>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</si>
  <si>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</si>
  <si>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</si>
  <si>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</si>
  <si>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</si>
  <si>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</si>
  <si>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</si>
  <si>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</si>
  <si>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</si>
  <si>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</si>
  <si>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</si>
  <si>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</si>
  <si>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</si>
  <si>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</si>
  <si>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</si>
  <si>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</si>
  <si>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</si>
  <si>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</si>
  <si>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</si>
  <si>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</si>
  <si>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</si>
  <si>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</si>
  <si>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</si>
  <si>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</si>
  <si>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</si>
  <si>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</si>
  <si>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</si>
  <si>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</si>
  <si>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</si>
  <si>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</si>
  <si>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</si>
  <si>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</si>
  <si>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</si>
  <si>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</si>
  <si>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</si>
  <si>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</si>
  <si>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</si>
  <si>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</si>
  <si>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</si>
  <si>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</si>
  <si>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</si>
  <si>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</si>
  <si>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</si>
  <si>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</si>
  <si>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</si>
  <si>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</si>
  <si>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</si>
  <si>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</si>
  <si>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</si>
  <si>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</si>
  <si>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</si>
  <si>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</si>
  <si>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</si>
  <si>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</si>
  <si>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</si>
  <si>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</si>
  <si>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</si>
  <si>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</si>
  <si>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</si>
  <si>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</si>
  <si>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</si>
  <si>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</si>
  <si>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</si>
  <si>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</si>
  <si>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</si>
  <si>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</si>
  <si>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</si>
  <si>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</si>
  <si>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</si>
  <si>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</si>
  <si>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</si>
  <si>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</si>
  <si>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</si>
  <si>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</si>
  <si>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</si>
  <si>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</si>
  <si>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</si>
  <si>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</si>
  <si>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</si>
  <si>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</si>
  <si>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</si>
  <si>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</si>
  <si>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</si>
  <si>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</si>
  <si>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</si>
  <si>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</si>
  <si>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</si>
  <si>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</si>
  <si>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</si>
  <si>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</si>
  <si>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</si>
  <si>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</si>
  <si>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</si>
  <si>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</si>
  <si>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</si>
  <si>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</si>
  <si>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</si>
  <si>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</si>
  <si>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</si>
  <si>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</si>
  <si>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</si>
  <si>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</si>
  <si>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</si>
  <si>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</si>
  <si>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</si>
  <si>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</si>
  <si>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</si>
  <si>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</si>
  <si>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</si>
  <si>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</si>
  <si>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</si>
  <si>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</si>
  <si>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</si>
  <si>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</si>
  <si>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</si>
  <si>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</si>
  <si>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</si>
  <si>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</si>
  <si>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</si>
  <si>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</si>
  <si>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</si>
  <si>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</si>
  <si>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</si>
  <si>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</si>
  <si>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</si>
  <si>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</si>
  <si>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</si>
  <si>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</si>
  <si>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</si>
  <si>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</si>
  <si>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</si>
  <si>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Sales Performance 2026</t>
  </si>
  <si>
    <t>Total Sales by City</t>
  </si>
  <si>
    <t>Total Sales :</t>
  </si>
  <si>
    <t>Total Sales by Month:</t>
  </si>
  <si>
    <t xml:space="preserve">Trend </t>
  </si>
  <si>
    <t xml:space="preserve">Average </t>
  </si>
  <si>
    <t>2 month</t>
  </si>
  <si>
    <t>3 month</t>
  </si>
  <si>
    <t>4 month</t>
  </si>
  <si>
    <t>5 month</t>
  </si>
  <si>
    <t>6 month</t>
  </si>
  <si>
    <t xml:space="preserve">Forecated Sales </t>
  </si>
  <si>
    <t>Actual sales</t>
  </si>
  <si>
    <t>Sales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</si>
</sst>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0" xfId="0" applyFont="1"/>
    <xf numFmtId="0" fontId="20" fillId="34" borderId="10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/>
    </xf>
    <xf numFmtId="4" fontId="20" fillId="0" borderId="10" xfId="0" applyNumberFormat="1" applyFont="1" applyBorder="1"/>
    <xf numFmtId="4" fontId="21" fillId="34" borderId="10" xfId="0" applyNumberFormat="1" applyFont="1" applyFill="1" applyBorder="1"/>
    <xf numFmtId="0" fontId="21" fillId="38" borderId="10" xfId="0" applyFont="1" applyFill="1" applyBorder="1" applyAlignment="1">
      <alignment horizontal="center"/>
    </xf>
    <xf numFmtId="0" fontId="21" fillId="37" borderId="10" xfId="0" applyFont="1" applyFill="1" applyBorder="1" applyAlignment="1">
      <alignment horizontal="center"/>
    </xf>
    <xf numFmtId="0" fontId="19" fillId="39" borderId="10" xfId="0" applyFont="1" applyFill="1" applyBorder="1" applyAlignment="1">
      <alignment horizontal="center" vertical="center" wrapText="1"/>
    </xf>
    <xf numFmtId="17" fontId="19" fillId="33" borderId="10" xfId="0" applyNumberFormat="1" applyFont="1" applyFill="1" applyBorder="1"/>
    <xf numFmtId="4" fontId="20" fillId="38" borderId="10" xfId="0" applyNumberFormat="1" applyFont="1" applyFill="1" applyBorder="1"/>
    <xf numFmtId="4" fontId="20" fillId="37" borderId="10" xfId="0" applyNumberFormat="1" applyFont="1" applyFill="1" applyBorder="1"/>
    <xf numFmtId="4" fontId="20" fillId="36" borderId="10" xfId="0" applyNumberFormat="1" applyFont="1" applyFill="1" applyBorder="1"/>
    <xf numFmtId="0" fontId="19" fillId="33" borderId="10" xfId="0" applyFont="1" applyFill="1" applyBorder="1" applyAlignment="1">
      <alignment horizontal="center" vertical="center" wrapText="1"/>
    </xf>
    <xf numFmtId="4" fontId="19" fillId="33" borderId="10" xfId="0" applyNumberFormat="1" applyFont="1" applyFill="1" applyBorder="1" applyAlignment="1">
      <alignment horizontal="right" vertical="center"/>
    </xf>
    <xf numFmtId="0" fontId="19" fillId="39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wrapText="1"/>
    </xf>
    <xf numFmtId="0" fontId="19" fillId="33" borderId="10" xfId="0" applyFont="1" applyFill="1" applyBorder="1"/>
    <xf numFmtId="9" fontId="20" fillId="0" borderId="10" xfId="42" applyFont="1" applyBorder="1"/>
    <xf numFmtId="9" fontId="22" fillId="33" borderId="10" xfId="0" applyNumberFormat="1" applyFont="1" applyFill="1" applyBorder="1"/>
    <xf numFmtId="9" fontId="19" fillId="33" borderId="10" xfId="0" applyNumberFormat="1" applyFont="1" applyFill="1" applyBorder="1"/>
    <xf numFmtId="9" fontId="20" fillId="0" borderId="0" xfId="0" applyNumberFormat="1" applyFont="1"/>
    <xf numFmtId="17" fontId="19" fillId="33" borderId="10" xfId="0" applyNumberFormat="1" applyFont="1" applyFill="1" applyBorder="1" applyAlignment="1">
      <alignment horizontal="right" vertical="center"/>
    </xf>
    <xf numFmtId="14" fontId="20" fillId="36" borderId="10" xfId="0" applyNumberFormat="1" applyFont="1" applyFill="1" applyBorder="1" applyAlignment="1">
      <alignment horizontal="left" vertical="center"/>
    </xf>
    <xf numFmtId="14" fontId="20" fillId="0" borderId="0" xfId="0" applyNumberFormat="1" applyFont="1"/>
    <xf numFmtId="0" fontId="20" fillId="35" borderId="10" xfId="0" applyFont="1" applyFill="1" applyBorder="1"/>
    <xf numFmtId="4" fontId="20" fillId="36" borderId="10" xfId="0" applyNumberFormat="1" applyFont="1" applyFill="1" applyBorder="1" applyAlignment="1">
      <alignment horizontal="right" vertical="center"/>
    </xf>
    <xf numFmtId="4" fontId="20" fillId="0" borderId="10" xfId="0" applyNumberFormat="1" applyFont="1" applyBorder="1" applyAlignment="1">
      <alignment horizontal="right" vertical="center"/>
    </xf>
    <xf numFmtId="14" fontId="20" fillId="0" borderId="0" xfId="0" applyNumberFormat="1" applyFont="1" applyFill="1" applyBorder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Performance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Summary!$A$3:$A$12</c:f>
              <c:strCache>
                <c:ptCount val="10"/>
                <c:pt idx="0">
                  <c:v>Hyderabad</c:v>
                </c:pt>
                <c:pt idx="1">
                  <c:v>Surat</c:v>
                </c:pt>
                <c:pt idx="2">
                  <c:v>Mumbai</c:v>
                </c:pt>
                <c:pt idx="3">
                  <c:v>Jaipur</c:v>
                </c:pt>
                <c:pt idx="4">
                  <c:v>Delhi</c:v>
                </c:pt>
                <c:pt idx="5">
                  <c:v>Bangalore</c:v>
                </c:pt>
                <c:pt idx="6">
                  <c:v>Pune</c:v>
                </c:pt>
                <c:pt idx="7">
                  <c:v>Ahmedabad</c:v>
                </c:pt>
                <c:pt idx="8">
                  <c:v>Chennai</c:v>
                </c:pt>
                <c:pt idx="9">
                  <c:v>Kolkata</c:v>
                </c:pt>
              </c:strCache>
            </c:strRef>
          </c:cat>
          <c:val>
            <c:numRef>
              <c:f>Summary!$G$3:$G$12</c:f>
              <c:numCache>
                <c:formatCode>#,##0.00</c:formatCode>
                <c:ptCount val="10"/>
                <c:pt idx="0">
                  <c:v>662981.5199999999</c:v>
                </c:pt>
                <c:pt idx="1">
                  <c:v>827964.39</c:v>
                </c:pt>
                <c:pt idx="2">
                  <c:v>1010348.3</c:v>
                </c:pt>
                <c:pt idx="3">
                  <c:v>1148632.3800000001</c:v>
                </c:pt>
                <c:pt idx="4">
                  <c:v>924742.92999999993</c:v>
                </c:pt>
                <c:pt idx="5">
                  <c:v>936385.12</c:v>
                </c:pt>
                <c:pt idx="6">
                  <c:v>1081316.69</c:v>
                </c:pt>
                <c:pt idx="7">
                  <c:v>724875.98</c:v>
                </c:pt>
                <c:pt idx="8">
                  <c:v>748515.65</c:v>
                </c:pt>
                <c:pt idx="9">
                  <c:v>874723.25000000012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8-4AFE-9026-A83D55B4C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454025</xdr:colOff>
      <xdr:row>0</xdr:row>
      <xdr:rowOff>12700</xdr:rowOff>
    </xdr:from>
    <xdr:to>
      <xdr:col>14</xdr:col>
      <xdr:colOff>95250</xdr:colOff>
      <xdr:row>12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FAA7B-A078-5987-912F-F3B88F08D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3EFE-1969-45F9-A66F-356B51D63AB1}">
  <dimension ref="A1:N31"/>
  <sheetViews>
    <sheetView showGridLines="0" tabSelected="1" zoomScale="85" zoomScaleNormal="85" workbookViewId="0">
      <selection activeCell="I27" sqref="I27"/>
    </sheetView>
  </sheetViews>
  <sheetFormatPr defaultRowHeight="15" customHeight="1" x14ac:dyDescent="0.25"/>
  <cols>
    <col min="1" max="1" width="16.453125" style="5" customWidth="1"/>
    <col min="2" max="5" width="13.1796875" style="5" bestFit="1" customWidth="1"/>
    <col min="6" max="6" width="15.453125" style="5" bestFit="1" customWidth="1"/>
    <col min="7" max="7" width="16.08984375" style="5" bestFit="1" customWidth="1"/>
    <col min="8" max="13" width="13.1796875" style="5" bestFit="1" customWidth="1"/>
    <col min="14" max="14" width="14.453125" style="5" bestFit="1" customWidth="1"/>
    <col min="15" max="16384" width="8.7265625" style="5"/>
  </cols>
  <sheetData>
    <row r="1" spans="1:14" ht="15" customHeight="1" x14ac:dyDescent="0.3">
      <c r="A1" s="2" t="s">
        <v>5</v>
      </c>
      <c r="B1" s="3" t="s">
        <v>1036</v>
      </c>
      <c r="C1" s="3"/>
      <c r="D1" s="3"/>
      <c r="E1" s="3"/>
      <c r="F1" s="3"/>
      <c r="G1" s="4" t="s">
        <v>1037</v>
      </c>
    </row>
    <row r="2" spans="1:14" ht="15" customHeight="1" x14ac:dyDescent="0.25">
      <c r="A2" s="2"/>
      <c r="B2" s="6" t="s">
        <v>9</v>
      </c>
      <c r="C2" s="6" t="s">
        <v>13</v>
      </c>
      <c r="D2" s="6" t="s">
        <v>17</v>
      </c>
      <c r="E2" s="6" t="s">
        <v>25</v>
      </c>
      <c r="F2" s="7" t="s">
        <v>39</v>
      </c>
      <c r="G2" s="4"/>
    </row>
    <row r="3" spans="1:14" ht="15" customHeight="1" x14ac:dyDescent="0.3">
      <c r="A3" s="8" t="s">
        <v>10</v>
      </c>
      <c r="B3" s="9">
        <f>SUMIFS(ecommerce_sales_1000_records!$E:E,ecommerce_sales_1000_records!$C:C,Summary!B$2,ecommerce_sales_1000_records!$F:F,Summary!$A3)</f>
        <v>48195.42</v>
      </c>
      <c r="C3" s="9">
        <f>SUMIFS(ecommerce_sales_1000_records!$E:F,ecommerce_sales_1000_records!$C:D,Summary!C$2,ecommerce_sales_1000_records!$F:G,Summary!$A3)</f>
        <v>475523.36999999988</v>
      </c>
      <c r="D3" s="9">
        <f>SUMIFS(ecommerce_sales_1000_records!$E:G,ecommerce_sales_1000_records!$C:E,Summary!D$2,ecommerce_sales_1000_records!$F:H,Summary!$A3)</f>
        <v>3082.09</v>
      </c>
      <c r="E3" s="9">
        <f>SUMIFS(ecommerce_sales_1000_records!$E:H,ecommerce_sales_1000_records!$C:F,Summary!E$2,ecommerce_sales_1000_records!$F:I,Summary!$A3)</f>
        <v>51629.74</v>
      </c>
      <c r="F3" s="9">
        <f>SUMIFS(ecommerce_sales_1000_records!$E:I,ecommerce_sales_1000_records!$C:G,Summary!F$2,ecommerce_sales_1000_records!$F:J,Summary!$A3)</f>
        <v>84550.9</v>
      </c>
      <c r="G3" s="10">
        <f>SUM(B3:F3)</f>
        <v>662981.5199999999</v>
      </c>
    </row>
    <row r="4" spans="1:14" ht="15" customHeight="1" x14ac:dyDescent="0.3">
      <c r="A4" s="8" t="s">
        <v>14</v>
      </c>
      <c r="B4" s="9">
        <f>SUMIFS(ecommerce_sales_1000_records!$E:E,ecommerce_sales_1000_records!$C:C,Summary!B$2,ecommerce_sales_1000_records!$F:F,Summary!$A4)</f>
        <v>50598.479999999996</v>
      </c>
      <c r="C4" s="9">
        <f>SUMIFS(ecommerce_sales_1000_records!$E:F,ecommerce_sales_1000_records!$C:D,Summary!C$2,ecommerce_sales_1000_records!$F:G,Summary!$A4)</f>
        <v>642996.84</v>
      </c>
      <c r="D4" s="9">
        <f>SUMIFS(ecommerce_sales_1000_records!$E:G,ecommerce_sales_1000_records!$C:E,Summary!D$2,ecommerce_sales_1000_records!$F:H,Summary!$A4)</f>
        <v>2258.4000000000005</v>
      </c>
      <c r="E4" s="9">
        <f>SUMIFS(ecommerce_sales_1000_records!$E:H,ecommerce_sales_1000_records!$C:F,Summary!E$2,ecommerce_sales_1000_records!$F:I,Summary!$A4)</f>
        <v>46839.380000000012</v>
      </c>
      <c r="F4" s="9">
        <f>SUMIFS(ecommerce_sales_1000_records!$E:I,ecommerce_sales_1000_records!$C:G,Summary!F$2,ecommerce_sales_1000_records!$F:J,Summary!$A4)</f>
        <v>85271.290000000008</v>
      </c>
      <c r="G4" s="10">
        <f t="shared" ref="G4:G12" si="0">SUM(B4:F4)</f>
        <v>827964.39</v>
      </c>
    </row>
    <row r="5" spans="1:14" ht="15" customHeight="1" x14ac:dyDescent="0.3">
      <c r="A5" s="8" t="s">
        <v>18</v>
      </c>
      <c r="B5" s="9">
        <f>SUMIFS(ecommerce_sales_1000_records!$E:E,ecommerce_sales_1000_records!$C:C,Summary!B$2,ecommerce_sales_1000_records!$F:F,Summary!$A5)</f>
        <v>50626.399999999987</v>
      </c>
      <c r="C5" s="9">
        <f>SUMIFS(ecommerce_sales_1000_records!$E:F,ecommerce_sales_1000_records!$C:D,Summary!C$2,ecommerce_sales_1000_records!$F:G,Summary!$A5)</f>
        <v>781774.04</v>
      </c>
      <c r="D5" s="9">
        <f>SUMIFS(ecommerce_sales_1000_records!$E:G,ecommerce_sales_1000_records!$C:E,Summary!D$2,ecommerce_sales_1000_records!$F:H,Summary!$A5)</f>
        <v>4106.5199999999995</v>
      </c>
      <c r="E5" s="9">
        <f>SUMIFS(ecommerce_sales_1000_records!$E:H,ecommerce_sales_1000_records!$C:F,Summary!E$2,ecommerce_sales_1000_records!$F:I,Summary!$A5)</f>
        <v>56419.269999999975</v>
      </c>
      <c r="F5" s="9">
        <f>SUMIFS(ecommerce_sales_1000_records!$E:I,ecommerce_sales_1000_records!$C:G,Summary!F$2,ecommerce_sales_1000_records!$F:J,Summary!$A5)</f>
        <v>117422.07</v>
      </c>
      <c r="G5" s="10">
        <f t="shared" si="0"/>
        <v>1010348.3</v>
      </c>
    </row>
    <row r="6" spans="1:14" ht="15" customHeight="1" x14ac:dyDescent="0.3">
      <c r="A6" s="8" t="s">
        <v>22</v>
      </c>
      <c r="B6" s="9">
        <f>SUMIFS(ecommerce_sales_1000_records!$E:E,ecommerce_sales_1000_records!$C:C,Summary!B$2,ecommerce_sales_1000_records!$F:F,Summary!$A6)</f>
        <v>67401.040000000008</v>
      </c>
      <c r="C6" s="9">
        <f>SUMIFS(ecommerce_sales_1000_records!$E:F,ecommerce_sales_1000_records!$C:D,Summary!C$2,ecommerce_sales_1000_records!$F:G,Summary!$A6)</f>
        <v>950342.85000000009</v>
      </c>
      <c r="D6" s="9">
        <f>SUMIFS(ecommerce_sales_1000_records!$E:G,ecommerce_sales_1000_records!$C:E,Summary!D$2,ecommerce_sales_1000_records!$F:H,Summary!$A6)</f>
        <v>4163.08</v>
      </c>
      <c r="E6" s="9">
        <f>SUMIFS(ecommerce_sales_1000_records!$E:H,ecommerce_sales_1000_records!$C:F,Summary!E$2,ecommerce_sales_1000_records!$F:I,Summary!$A6)</f>
        <v>29865.08</v>
      </c>
      <c r="F6" s="9">
        <f>SUMIFS(ecommerce_sales_1000_records!$E:I,ecommerce_sales_1000_records!$C:G,Summary!F$2,ecommerce_sales_1000_records!$F:J,Summary!$A6)</f>
        <v>96860.329999999987</v>
      </c>
      <c r="G6" s="10">
        <f t="shared" si="0"/>
        <v>1148632.3800000001</v>
      </c>
    </row>
    <row r="7" spans="1:14" ht="15" customHeight="1" x14ac:dyDescent="0.3">
      <c r="A7" s="8" t="s">
        <v>26</v>
      </c>
      <c r="B7" s="9">
        <f>SUMIFS(ecommerce_sales_1000_records!$E:E,ecommerce_sales_1000_records!$C:C,Summary!B$2,ecommerce_sales_1000_records!$F:F,Summary!$A7)</f>
        <v>30365.769999999997</v>
      </c>
      <c r="C7" s="9">
        <f>SUMIFS(ecommerce_sales_1000_records!$E:F,ecommerce_sales_1000_records!$C:D,Summary!C$2,ecommerce_sales_1000_records!$F:G,Summary!$A7)</f>
        <v>725393.78999999992</v>
      </c>
      <c r="D7" s="9">
        <f>SUMIFS(ecommerce_sales_1000_records!$E:G,ecommerce_sales_1000_records!$C:E,Summary!D$2,ecommerce_sales_1000_records!$F:H,Summary!$A7)</f>
        <v>3116</v>
      </c>
      <c r="E7" s="9">
        <f>SUMIFS(ecommerce_sales_1000_records!$E:H,ecommerce_sales_1000_records!$C:F,Summary!E$2,ecommerce_sales_1000_records!$F:I,Summary!$A7)</f>
        <v>42192.049999999996</v>
      </c>
      <c r="F7" s="9">
        <f>SUMIFS(ecommerce_sales_1000_records!$E:I,ecommerce_sales_1000_records!$C:G,Summary!F$2,ecommerce_sales_1000_records!$F:J,Summary!$A7)</f>
        <v>123675.31999999999</v>
      </c>
      <c r="G7" s="10">
        <f t="shared" si="0"/>
        <v>924742.92999999993</v>
      </c>
    </row>
    <row r="8" spans="1:14" ht="15" customHeight="1" x14ac:dyDescent="0.3">
      <c r="A8" s="8" t="s">
        <v>29</v>
      </c>
      <c r="B8" s="9">
        <f>SUMIFS(ecommerce_sales_1000_records!$E:E,ecommerce_sales_1000_records!$C:C,Summary!B$2,ecommerce_sales_1000_records!$F:F,Summary!$A8)</f>
        <v>80895.789999999979</v>
      </c>
      <c r="C8" s="9">
        <f>SUMIFS(ecommerce_sales_1000_records!$E:F,ecommerce_sales_1000_records!$C:D,Summary!C$2,ecommerce_sales_1000_records!$F:G,Summary!$A8)</f>
        <v>697673.74000000011</v>
      </c>
      <c r="D8" s="9">
        <f>SUMIFS(ecommerce_sales_1000_records!$E:G,ecommerce_sales_1000_records!$C:E,Summary!D$2,ecommerce_sales_1000_records!$F:H,Summary!$A8)</f>
        <v>1385.6</v>
      </c>
      <c r="E8" s="9">
        <f>SUMIFS(ecommerce_sales_1000_records!$E:H,ecommerce_sales_1000_records!$C:F,Summary!E$2,ecommerce_sales_1000_records!$F:I,Summary!$A8)</f>
        <v>18620.86</v>
      </c>
      <c r="F8" s="9">
        <f>SUMIFS(ecommerce_sales_1000_records!$E:I,ecommerce_sales_1000_records!$C:G,Summary!F$2,ecommerce_sales_1000_records!$F:J,Summary!$A8)</f>
        <v>137809.13</v>
      </c>
      <c r="G8" s="10">
        <f t="shared" si="0"/>
        <v>936385.12</v>
      </c>
    </row>
    <row r="9" spans="1:14" ht="15" customHeight="1" x14ac:dyDescent="0.3">
      <c r="A9" s="8" t="s">
        <v>32</v>
      </c>
      <c r="B9" s="9">
        <f>SUMIFS(ecommerce_sales_1000_records!$E:E,ecommerce_sales_1000_records!$C:C,Summary!B$2,ecommerce_sales_1000_records!$F:F,Summary!$A9)</f>
        <v>58984.119999999995</v>
      </c>
      <c r="C9" s="9">
        <f>SUMIFS(ecommerce_sales_1000_records!$E:F,ecommerce_sales_1000_records!$C:D,Summary!C$2,ecommerce_sales_1000_records!$F:G,Summary!$A9)</f>
        <v>870104.23</v>
      </c>
      <c r="D9" s="9">
        <f>SUMIFS(ecommerce_sales_1000_records!$E:G,ecommerce_sales_1000_records!$C:E,Summary!D$2,ecommerce_sales_1000_records!$F:H,Summary!$A9)</f>
        <v>2742.72</v>
      </c>
      <c r="E9" s="9">
        <f>SUMIFS(ecommerce_sales_1000_records!$E:H,ecommerce_sales_1000_records!$C:F,Summary!E$2,ecommerce_sales_1000_records!$F:I,Summary!$A9)</f>
        <v>38005.1</v>
      </c>
      <c r="F9" s="9">
        <f>SUMIFS(ecommerce_sales_1000_records!$E:I,ecommerce_sales_1000_records!$C:G,Summary!F$2,ecommerce_sales_1000_records!$F:J,Summary!$A9)</f>
        <v>111480.51999999999</v>
      </c>
      <c r="G9" s="10">
        <f t="shared" si="0"/>
        <v>1081316.69</v>
      </c>
    </row>
    <row r="10" spans="1:14" ht="15" customHeight="1" x14ac:dyDescent="0.3">
      <c r="A10" s="8" t="s">
        <v>46</v>
      </c>
      <c r="B10" s="9">
        <f>SUMIFS(ecommerce_sales_1000_records!$E:E,ecommerce_sales_1000_records!$C:C,Summary!B$2,ecommerce_sales_1000_records!$F:F,Summary!$A10)</f>
        <v>86208.889999999985</v>
      </c>
      <c r="C10" s="9">
        <f>SUMIFS(ecommerce_sales_1000_records!$E:F,ecommerce_sales_1000_records!$C:D,Summary!C$2,ecommerce_sales_1000_records!$F:G,Summary!$A10)</f>
        <v>506061.73999999987</v>
      </c>
      <c r="D10" s="9">
        <f>SUMIFS(ecommerce_sales_1000_records!$E:G,ecommerce_sales_1000_records!$C:E,Summary!D$2,ecommerce_sales_1000_records!$F:H,Summary!$A10)</f>
        <v>3248.53</v>
      </c>
      <c r="E10" s="9">
        <f>SUMIFS(ecommerce_sales_1000_records!$E:H,ecommerce_sales_1000_records!$C:F,Summary!E$2,ecommerce_sales_1000_records!$F:I,Summary!$A10)</f>
        <v>33186.92</v>
      </c>
      <c r="F10" s="9">
        <f>SUMIFS(ecommerce_sales_1000_records!$E:I,ecommerce_sales_1000_records!$C:G,Summary!F$2,ecommerce_sales_1000_records!$F:J,Summary!$A10)</f>
        <v>96169.9</v>
      </c>
      <c r="G10" s="10">
        <f t="shared" si="0"/>
        <v>724875.98</v>
      </c>
    </row>
    <row r="11" spans="1:14" ht="15" customHeight="1" x14ac:dyDescent="0.3">
      <c r="A11" s="8" t="s">
        <v>48</v>
      </c>
      <c r="B11" s="9">
        <f>SUMIFS(ecommerce_sales_1000_records!$E:E,ecommerce_sales_1000_records!$C:C,Summary!B$2,ecommerce_sales_1000_records!$F:F,Summary!$A11)</f>
        <v>43817.180000000008</v>
      </c>
      <c r="C11" s="9">
        <f>SUMIFS(ecommerce_sales_1000_records!$E:F,ecommerce_sales_1000_records!$C:D,Summary!C$2,ecommerce_sales_1000_records!$F:G,Summary!$A11)</f>
        <v>577807.14999999991</v>
      </c>
      <c r="D11" s="9">
        <f>SUMIFS(ecommerce_sales_1000_records!$E:G,ecommerce_sales_1000_records!$C:E,Summary!D$2,ecommerce_sales_1000_records!$F:H,Summary!$A11)</f>
        <v>3112.52</v>
      </c>
      <c r="E11" s="9">
        <f>SUMIFS(ecommerce_sales_1000_records!$E:H,ecommerce_sales_1000_records!$C:F,Summary!E$2,ecommerce_sales_1000_records!$F:I,Summary!$A11)</f>
        <v>36310.28</v>
      </c>
      <c r="F11" s="9">
        <f>SUMIFS(ecommerce_sales_1000_records!$E:I,ecommerce_sales_1000_records!$C:G,Summary!F$2,ecommerce_sales_1000_records!$F:J,Summary!$A11)</f>
        <v>87468.51999999999</v>
      </c>
      <c r="G11" s="10">
        <f t="shared" si="0"/>
        <v>748515.65</v>
      </c>
    </row>
    <row r="12" spans="1:14" ht="15" customHeight="1" x14ac:dyDescent="0.3">
      <c r="A12" s="8" t="s">
        <v>50</v>
      </c>
      <c r="B12" s="9">
        <f>SUMIFS(ecommerce_sales_1000_records!$E:E,ecommerce_sales_1000_records!$C:C,Summary!B$2,ecommerce_sales_1000_records!$F:F,Summary!$A12)</f>
        <v>23959.379999999997</v>
      </c>
      <c r="C12" s="9">
        <f>SUMIFS(ecommerce_sales_1000_records!$E:F,ecommerce_sales_1000_records!$C:D,Summary!C$2,ecommerce_sales_1000_records!$F:G,Summary!$A12)</f>
        <v>708732.02000000014</v>
      </c>
      <c r="D12" s="9">
        <f>SUMIFS(ecommerce_sales_1000_records!$E:G,ecommerce_sales_1000_records!$C:E,Summary!D$2,ecommerce_sales_1000_records!$F:H,Summary!$A12)</f>
        <v>2673.5800000000004</v>
      </c>
      <c r="E12" s="9">
        <f>SUMIFS(ecommerce_sales_1000_records!$E:H,ecommerce_sales_1000_records!$C:F,Summary!E$2,ecommerce_sales_1000_records!$F:I,Summary!$A12)</f>
        <v>35582.709999999992</v>
      </c>
      <c r="F12" s="9">
        <f>SUMIFS(ecommerce_sales_1000_records!$E:I,ecommerce_sales_1000_records!$C:G,Summary!F$2,ecommerce_sales_1000_records!$F:J,Summary!$A12)</f>
        <v>103775.56000000003</v>
      </c>
      <c r="G12" s="10">
        <f t="shared" si="0"/>
        <v>874723.25000000012</v>
      </c>
    </row>
    <row r="15" spans="1:14" ht="15" customHeight="1" x14ac:dyDescent="0.3">
      <c r="A15" s="2" t="s">
        <v>2</v>
      </c>
      <c r="B15" s="11" t="s">
        <v>1048</v>
      </c>
      <c r="C15" s="11"/>
      <c r="D15" s="11"/>
      <c r="E15" s="11"/>
      <c r="F15" s="11"/>
      <c r="G15" s="11"/>
      <c r="H15" s="12" t="s">
        <v>1047</v>
      </c>
      <c r="I15" s="12"/>
      <c r="J15" s="12"/>
      <c r="K15" s="12"/>
      <c r="L15" s="12"/>
      <c r="M15" s="12"/>
      <c r="N15" s="13" t="s">
        <v>1049</v>
      </c>
    </row>
    <row r="16" spans="1:14" ht="15" customHeight="1" x14ac:dyDescent="0.3">
      <c r="A16" s="2"/>
      <c r="B16" s="14">
        <v>46023</v>
      </c>
      <c r="C16" s="14">
        <v>46054</v>
      </c>
      <c r="D16" s="14">
        <v>46082</v>
      </c>
      <c r="E16" s="14">
        <v>46113</v>
      </c>
      <c r="F16" s="14">
        <v>46143</v>
      </c>
      <c r="G16" s="14">
        <v>46174</v>
      </c>
      <c r="H16" s="14">
        <v>46204</v>
      </c>
      <c r="I16" s="14">
        <v>46235</v>
      </c>
      <c r="J16" s="14">
        <v>46266</v>
      </c>
      <c r="K16" s="14">
        <v>46296</v>
      </c>
      <c r="L16" s="14">
        <v>46327</v>
      </c>
      <c r="M16" s="14">
        <v>46357</v>
      </c>
      <c r="N16" s="13"/>
    </row>
    <row r="17" spans="1:14" ht="15" customHeight="1" x14ac:dyDescent="0.25">
      <c r="A17" s="6" t="s">
        <v>9</v>
      </c>
      <c r="B17" s="15">
        <v>67358.349999999991</v>
      </c>
      <c r="C17" s="15">
        <v>99356.479999999996</v>
      </c>
      <c r="D17" s="15">
        <v>100539.58000000002</v>
      </c>
      <c r="E17" s="15">
        <v>86704.879999999976</v>
      </c>
      <c r="F17" s="15">
        <v>76709.790000000008</v>
      </c>
      <c r="G17" s="15">
        <v>110383.38999999998</v>
      </c>
      <c r="H17" s="16">
        <f>AVERAGE(E17:G17)*105%</f>
        <v>95829.320999999982</v>
      </c>
      <c r="I17" s="16">
        <f t="shared" ref="I17:M21" si="1">AVERAGE(F17:H17)*105%</f>
        <v>99022.875350000002</v>
      </c>
      <c r="J17" s="16">
        <f t="shared" si="1"/>
        <v>106832.45522249999</v>
      </c>
      <c r="K17" s="16">
        <f t="shared" si="1"/>
        <v>105589.628050375</v>
      </c>
      <c r="L17" s="16">
        <f t="shared" si="1"/>
        <v>109005.73551800627</v>
      </c>
      <c r="M17" s="16">
        <f t="shared" si="1"/>
        <v>112499.73657680844</v>
      </c>
      <c r="N17" s="17">
        <f>SUM(B17:M17)</f>
        <v>1169832.2217176899</v>
      </c>
    </row>
    <row r="18" spans="1:14" ht="15" customHeight="1" x14ac:dyDescent="0.25">
      <c r="A18" s="6" t="s">
        <v>13</v>
      </c>
      <c r="B18" s="15">
        <v>1518547.99</v>
      </c>
      <c r="C18" s="15">
        <v>1044268.08</v>
      </c>
      <c r="D18" s="15">
        <v>1111658.1500000001</v>
      </c>
      <c r="E18" s="15">
        <v>1222701.75</v>
      </c>
      <c r="F18" s="15">
        <v>1304164.5299999998</v>
      </c>
      <c r="G18" s="15">
        <v>735069.27</v>
      </c>
      <c r="H18" s="16">
        <f t="shared" ref="H18:H21" si="2">AVERAGE(E18:G18)*105%</f>
        <v>1141677.4424999999</v>
      </c>
      <c r="I18" s="16">
        <f t="shared" si="1"/>
        <v>1113318.9348749998</v>
      </c>
      <c r="J18" s="16">
        <f t="shared" si="1"/>
        <v>1046522.97658125</v>
      </c>
      <c r="K18" s="16">
        <f t="shared" si="1"/>
        <v>1155531.7738846876</v>
      </c>
      <c r="L18" s="16">
        <f t="shared" si="1"/>
        <v>1160380.789869328</v>
      </c>
      <c r="M18" s="16">
        <f t="shared" si="1"/>
        <v>1176852.4391173429</v>
      </c>
      <c r="N18" s="17">
        <f t="shared" ref="N18:N22" si="3">SUM(B18:M18)</f>
        <v>13730694.126827605</v>
      </c>
    </row>
    <row r="19" spans="1:14" ht="15" customHeight="1" x14ac:dyDescent="0.25">
      <c r="A19" s="6" t="s">
        <v>17</v>
      </c>
      <c r="B19" s="15">
        <v>6033.74</v>
      </c>
      <c r="C19" s="15">
        <v>4974.32</v>
      </c>
      <c r="D19" s="15">
        <v>5430.06</v>
      </c>
      <c r="E19" s="15">
        <v>2213.98</v>
      </c>
      <c r="F19" s="15">
        <v>4565.4799999999996</v>
      </c>
      <c r="G19" s="15">
        <v>6671.46</v>
      </c>
      <c r="H19" s="16">
        <f t="shared" si="2"/>
        <v>4707.8219999999992</v>
      </c>
      <c r="I19" s="16">
        <f t="shared" si="1"/>
        <v>5580.6666999999998</v>
      </c>
      <c r="J19" s="16">
        <f t="shared" si="1"/>
        <v>5935.9820450000007</v>
      </c>
      <c r="K19" s="16">
        <f t="shared" si="1"/>
        <v>5678.5647607499996</v>
      </c>
      <c r="L19" s="16">
        <f t="shared" si="1"/>
        <v>6018.3247270124994</v>
      </c>
      <c r="M19" s="16">
        <f t="shared" si="1"/>
        <v>6171.505036466875</v>
      </c>
      <c r="N19" s="17">
        <f t="shared" si="3"/>
        <v>63981.905269229363</v>
      </c>
    </row>
    <row r="20" spans="1:14" ht="15" customHeight="1" x14ac:dyDescent="0.25">
      <c r="A20" s="6" t="s">
        <v>25</v>
      </c>
      <c r="B20" s="15">
        <v>65031.48</v>
      </c>
      <c r="C20" s="15">
        <v>57796.06</v>
      </c>
      <c r="D20" s="15">
        <v>59196.430000000015</v>
      </c>
      <c r="E20" s="15">
        <v>71362.620000000024</v>
      </c>
      <c r="F20" s="15">
        <v>80989.909999999989</v>
      </c>
      <c r="G20" s="15">
        <v>54274.889999999992</v>
      </c>
      <c r="H20" s="16">
        <f t="shared" si="2"/>
        <v>72319.597000000009</v>
      </c>
      <c r="I20" s="16">
        <f t="shared" si="1"/>
        <v>72654.538950000002</v>
      </c>
      <c r="J20" s="16">
        <f t="shared" si="1"/>
        <v>69737.159082500002</v>
      </c>
      <c r="K20" s="16">
        <f t="shared" si="1"/>
        <v>75148.953261375005</v>
      </c>
      <c r="L20" s="16">
        <f t="shared" si="1"/>
        <v>76139.227952856265</v>
      </c>
      <c r="M20" s="16">
        <f t="shared" si="1"/>
        <v>77358.869103855948</v>
      </c>
      <c r="N20" s="17">
        <f t="shared" si="3"/>
        <v>832009.73535058717</v>
      </c>
    </row>
    <row r="21" spans="1:14" ht="15" customHeight="1" x14ac:dyDescent="0.25">
      <c r="A21" s="7" t="s">
        <v>39</v>
      </c>
      <c r="B21" s="15">
        <v>154798.52000000005</v>
      </c>
      <c r="C21" s="15">
        <v>126137.84</v>
      </c>
      <c r="D21" s="15">
        <v>213421.06</v>
      </c>
      <c r="E21" s="15">
        <v>178787.70999999996</v>
      </c>
      <c r="F21" s="15">
        <v>225640.29</v>
      </c>
      <c r="G21" s="15">
        <v>145698.11999999997</v>
      </c>
      <c r="H21" s="16">
        <f t="shared" si="2"/>
        <v>192544.14199999999</v>
      </c>
      <c r="I21" s="16">
        <f t="shared" si="1"/>
        <v>197358.89319999996</v>
      </c>
      <c r="J21" s="16">
        <f t="shared" si="1"/>
        <v>187460.40432</v>
      </c>
      <c r="K21" s="16">
        <f t="shared" si="1"/>
        <v>202077.20383199997</v>
      </c>
      <c r="L21" s="16">
        <f t="shared" si="1"/>
        <v>205413.77547319999</v>
      </c>
      <c r="M21" s="16">
        <f t="shared" si="1"/>
        <v>208232.98426882003</v>
      </c>
      <c r="N21" s="17">
        <f t="shared" si="3"/>
        <v>2237570.9430940202</v>
      </c>
    </row>
    <row r="22" spans="1:14" ht="15" customHeight="1" x14ac:dyDescent="0.25">
      <c r="A22" s="18" t="s">
        <v>1039</v>
      </c>
      <c r="B22" s="19">
        <f>SUM(B17:B21)</f>
        <v>1811770.08</v>
      </c>
      <c r="C22" s="19">
        <f t="shared" ref="C22:G22" si="4">SUM(C17:C21)</f>
        <v>1332532.7800000003</v>
      </c>
      <c r="D22" s="19">
        <f t="shared" si="4"/>
        <v>1490245.2800000003</v>
      </c>
      <c r="E22" s="19">
        <f t="shared" si="4"/>
        <v>1561770.94</v>
      </c>
      <c r="F22" s="19">
        <f t="shared" si="4"/>
        <v>1692069.9999999998</v>
      </c>
      <c r="G22" s="19">
        <f t="shared" si="4"/>
        <v>1052097.1299999999</v>
      </c>
      <c r="H22" s="19">
        <f t="shared" ref="H22" si="5">SUM(H17:H21)</f>
        <v>1507078.3244999999</v>
      </c>
      <c r="I22" s="19">
        <f t="shared" ref="I22" si="6">SUM(I17:I21)</f>
        <v>1487935.9090749999</v>
      </c>
      <c r="J22" s="19">
        <f t="shared" ref="J22" si="7">SUM(J17:J21)</f>
        <v>1416488.9772512498</v>
      </c>
      <c r="K22" s="19">
        <f t="shared" ref="K22" si="8">SUM(K17:K21)</f>
        <v>1544026.1237891875</v>
      </c>
      <c r="L22" s="19">
        <f t="shared" ref="L22" si="9">SUM(L17:L21)</f>
        <v>1556957.8535404033</v>
      </c>
      <c r="M22" s="19">
        <f t="shared" ref="M22" si="10">SUM(M17:M21)</f>
        <v>1581115.5341032944</v>
      </c>
      <c r="N22" s="20">
        <f t="shared" si="3"/>
        <v>18034088.932259135</v>
      </c>
    </row>
    <row r="23" spans="1:14" ht="15" customHeight="1" x14ac:dyDescent="0.3">
      <c r="N23" s="21"/>
    </row>
    <row r="24" spans="1:14" ht="15" customHeight="1" x14ac:dyDescent="0.3">
      <c r="A24" s="22" t="s">
        <v>1040</v>
      </c>
      <c r="B24" s="22" t="s">
        <v>1042</v>
      </c>
      <c r="C24" s="22" t="s">
        <v>1043</v>
      </c>
      <c r="D24" s="22" t="s">
        <v>1044</v>
      </c>
      <c r="E24" s="22" t="s">
        <v>1045</v>
      </c>
      <c r="F24" s="22" t="s">
        <v>1046</v>
      </c>
      <c r="G24" s="22" t="s">
        <v>1041</v>
      </c>
    </row>
    <row r="25" spans="1:14" ht="15" customHeight="1" x14ac:dyDescent="0.25">
      <c r="A25" s="6" t="s">
        <v>9</v>
      </c>
      <c r="B25" s="23">
        <f>(C17-B17)/B17</f>
        <v>0.47504325744321246</v>
      </c>
      <c r="C25" s="23">
        <f t="shared" ref="C25:F25" si="11">(D17-C17)/C17</f>
        <v>1.1907627967496639E-2</v>
      </c>
      <c r="D25" s="23">
        <f t="shared" si="11"/>
        <v>-0.13760451356570258</v>
      </c>
      <c r="E25" s="23">
        <f t="shared" si="11"/>
        <v>-0.1152771331901961</v>
      </c>
      <c r="F25" s="23">
        <f t="shared" si="11"/>
        <v>0.43897395625773417</v>
      </c>
      <c r="G25" s="24">
        <f>AVERAGE(B25:F25)</f>
        <v>0.13460863898250891</v>
      </c>
    </row>
    <row r="26" spans="1:14" ht="15" customHeight="1" x14ac:dyDescent="0.25">
      <c r="A26" s="6" t="s">
        <v>13</v>
      </c>
      <c r="B26" s="23">
        <f t="shared" ref="B26:F26" si="12">(C18-B18)/B18</f>
        <v>-0.3123246108277421</v>
      </c>
      <c r="C26" s="23">
        <f t="shared" si="12"/>
        <v>6.4533304513147802E-2</v>
      </c>
      <c r="D26" s="23">
        <f t="shared" si="12"/>
        <v>9.9890060627001065E-2</v>
      </c>
      <c r="E26" s="23">
        <f t="shared" si="12"/>
        <v>6.6625225652944223E-2</v>
      </c>
      <c r="F26" s="23">
        <f t="shared" si="12"/>
        <v>-0.43636768744201304</v>
      </c>
      <c r="G26" s="24">
        <f t="shared" ref="G26:G29" si="13">AVERAGE(B26:F26)</f>
        <v>-0.10352874149533239</v>
      </c>
    </row>
    <row r="27" spans="1:14" ht="15" customHeight="1" x14ac:dyDescent="0.25">
      <c r="A27" s="6" t="s">
        <v>17</v>
      </c>
      <c r="B27" s="23">
        <f t="shared" ref="B27:F27" si="14">(C19-B19)/B19</f>
        <v>-0.17558264028612439</v>
      </c>
      <c r="C27" s="23">
        <f t="shared" si="14"/>
        <v>9.1618552887631016E-2</v>
      </c>
      <c r="D27" s="23">
        <f t="shared" si="14"/>
        <v>-0.59227338187791667</v>
      </c>
      <c r="E27" s="23">
        <f t="shared" si="14"/>
        <v>1.0621143822437418</v>
      </c>
      <c r="F27" s="23">
        <f t="shared" si="14"/>
        <v>0.46128336998519337</v>
      </c>
      <c r="G27" s="24">
        <f t="shared" si="13"/>
        <v>0.16943205659050503</v>
      </c>
    </row>
    <row r="28" spans="1:14" ht="15" customHeight="1" x14ac:dyDescent="0.25">
      <c r="A28" s="6" t="s">
        <v>25</v>
      </c>
      <c r="B28" s="23">
        <f t="shared" ref="B28:F28" si="15">(C20-B20)/B20</f>
        <v>-0.11126026964171822</v>
      </c>
      <c r="C28" s="23">
        <f t="shared" si="15"/>
        <v>2.4229506301986975E-2</v>
      </c>
      <c r="D28" s="23">
        <f t="shared" si="15"/>
        <v>0.20552236004772595</v>
      </c>
      <c r="E28" s="23">
        <f t="shared" si="15"/>
        <v>0.13490662198220807</v>
      </c>
      <c r="F28" s="23">
        <f t="shared" si="15"/>
        <v>-0.32985615121686146</v>
      </c>
      <c r="G28" s="24">
        <f t="shared" si="13"/>
        <v>-1.5291586505331734E-2</v>
      </c>
    </row>
    <row r="29" spans="1:14" ht="15" customHeight="1" x14ac:dyDescent="0.25">
      <c r="A29" s="7" t="s">
        <v>39</v>
      </c>
      <c r="B29" s="23">
        <f t="shared" ref="B29:F29" si="16">(C21-B21)/B21</f>
        <v>-0.18514828177943848</v>
      </c>
      <c r="C29" s="23">
        <f t="shared" si="16"/>
        <v>0.69196697834686249</v>
      </c>
      <c r="D29" s="23">
        <f t="shared" si="16"/>
        <v>-0.16227709674012505</v>
      </c>
      <c r="E29" s="23">
        <f t="shared" si="16"/>
        <v>0.26205705078945335</v>
      </c>
      <c r="F29" s="23">
        <f t="shared" si="16"/>
        <v>-0.35429031756695595</v>
      </c>
      <c r="G29" s="24">
        <f t="shared" si="13"/>
        <v>5.0461666609959252E-2</v>
      </c>
    </row>
    <row r="30" spans="1:14" ht="15" customHeight="1" x14ac:dyDescent="0.3">
      <c r="A30" s="22" t="s">
        <v>1041</v>
      </c>
      <c r="B30" s="24">
        <f>AVERAGE(B25:B29)</f>
        <v>-6.1854509018362147E-2</v>
      </c>
      <c r="C30" s="24">
        <f t="shared" ref="C30:F30" si="17">AVERAGE(C25:C29)</f>
        <v>0.176851194003425</v>
      </c>
      <c r="D30" s="24">
        <f t="shared" si="17"/>
        <v>-0.11734851430180344</v>
      </c>
      <c r="E30" s="24">
        <f t="shared" si="17"/>
        <v>0.28208522949563031</v>
      </c>
      <c r="F30" s="24">
        <f t="shared" si="17"/>
        <v>-4.4051365996580584E-2</v>
      </c>
      <c r="G30" s="25">
        <f>AVERAGE(G25:G29)</f>
        <v>4.7136406836461808E-2</v>
      </c>
    </row>
    <row r="31" spans="1:14" ht="15" customHeight="1" x14ac:dyDescent="0.25">
      <c r="G31" s="26"/>
    </row>
  </sheetData>
  <mergeCells count="7">
    <mergeCell ref="B1:F1"/>
    <mergeCell ref="G1:G2"/>
    <mergeCell ref="A1:A2"/>
    <mergeCell ref="H15:M15"/>
    <mergeCell ref="B15:G15"/>
    <mergeCell ref="N15:N16"/>
    <mergeCell ref="A15:A16"/>
  </mergeCells>
  <phoneticPr fontId="18" type="noConversion"/>
  <pageMargins left="0.7" right="0.7" top="0.75" bottom="0.75" header="0.3" footer="0.3"/>
  <ignoredErrors>
    <ignoredError sqref="H17:H2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CDB0-3A9D-410A-AB62-4B21EE46AC9E}">
  <dimension ref="A1:AH47"/>
  <sheetViews>
    <sheetView workbookViewId="0">
      <selection sqref="A1:XFD1048576"/>
    </sheetView>
  </sheetViews>
  <sheetFormatPr defaultRowHeight="15" customHeight="1" x14ac:dyDescent="0.25"/>
  <cols>
    <col min="1" max="1" width="15" style="5" bestFit="1" customWidth="1"/>
    <col min="2" max="2" width="12.26953125" style="5" bestFit="1" customWidth="1"/>
    <col min="3" max="3" width="9.54296875" style="5" bestFit="1" customWidth="1"/>
    <col min="4" max="6" width="10.6328125" style="5" bestFit="1" customWidth="1"/>
    <col min="7" max="7" width="9.54296875" style="5" bestFit="1" customWidth="1"/>
    <col min="8" max="8" width="10.6328125" style="5" bestFit="1" customWidth="1"/>
    <col min="9" max="11" width="9.54296875" style="5" bestFit="1" customWidth="1"/>
    <col min="12" max="12" width="10.6328125" style="5" bestFit="1" customWidth="1"/>
    <col min="13" max="17" width="9.54296875" style="5" bestFit="1" customWidth="1"/>
    <col min="18" max="18" width="10.6328125" style="5" bestFit="1" customWidth="1"/>
    <col min="19" max="19" width="9.54296875" style="5" bestFit="1" customWidth="1"/>
    <col min="20" max="22" width="10.6328125" style="5" bestFit="1" customWidth="1"/>
    <col min="23" max="25" width="9.54296875" style="5" bestFit="1" customWidth="1"/>
    <col min="26" max="29" width="10.6328125" style="5" bestFit="1" customWidth="1"/>
    <col min="30" max="31" width="9.54296875" style="5" bestFit="1" customWidth="1"/>
    <col min="32" max="32" width="10.6328125" style="5" bestFit="1" customWidth="1"/>
    <col min="33" max="33" width="9.54296875" style="5" bestFit="1" customWidth="1"/>
    <col min="34" max="16384" width="8.7265625" style="5"/>
  </cols>
  <sheetData>
    <row r="1" spans="1:34" ht="15" customHeight="1" x14ac:dyDescent="0.3">
      <c r="A1" s="14" t="s">
        <v>6</v>
      </c>
      <c r="B1" s="27">
        <v>46023</v>
      </c>
      <c r="C1" s="28">
        <v>46023</v>
      </c>
      <c r="D1" s="28">
        <f>C1+1</f>
        <v>46024</v>
      </c>
      <c r="E1" s="28">
        <f>D1+1</f>
        <v>46025</v>
      </c>
      <c r="F1" s="28">
        <f>E1+1</f>
        <v>46026</v>
      </c>
      <c r="G1" s="28">
        <f>F1+1</f>
        <v>46027</v>
      </c>
      <c r="H1" s="28">
        <f>G1+1</f>
        <v>46028</v>
      </c>
      <c r="I1" s="28">
        <f>H1+1</f>
        <v>46029</v>
      </c>
      <c r="J1" s="28">
        <f>I1+1</f>
        <v>46030</v>
      </c>
      <c r="K1" s="28">
        <f>J1+1</f>
        <v>46031</v>
      </c>
      <c r="L1" s="28">
        <f>K1+1</f>
        <v>46032</v>
      </c>
      <c r="M1" s="28">
        <f>L1+1</f>
        <v>46033</v>
      </c>
      <c r="N1" s="28">
        <f>M1+1</f>
        <v>46034</v>
      </c>
      <c r="O1" s="28">
        <f>N1+1</f>
        <v>46035</v>
      </c>
      <c r="P1" s="28">
        <f>O1+1</f>
        <v>46036</v>
      </c>
      <c r="Q1" s="28">
        <f>P1+1</f>
        <v>46037</v>
      </c>
      <c r="R1" s="28">
        <f>Q1+1</f>
        <v>46038</v>
      </c>
      <c r="S1" s="28">
        <f>R1+1</f>
        <v>46039</v>
      </c>
      <c r="T1" s="28">
        <f>S1+1</f>
        <v>46040</v>
      </c>
      <c r="U1" s="28">
        <f>T1+1</f>
        <v>46041</v>
      </c>
      <c r="V1" s="28">
        <f>U1+1</f>
        <v>46042</v>
      </c>
      <c r="W1" s="28">
        <f>V1+1</f>
        <v>46043</v>
      </c>
      <c r="X1" s="28">
        <f>W1+1</f>
        <v>46044</v>
      </c>
      <c r="Y1" s="28">
        <f>X1+1</f>
        <v>46045</v>
      </c>
      <c r="Z1" s="28">
        <f>Y1+1</f>
        <v>46046</v>
      </c>
      <c r="AA1" s="28">
        <f>Z1+1</f>
        <v>46047</v>
      </c>
      <c r="AB1" s="28">
        <f>AA1+1</f>
        <v>46048</v>
      </c>
      <c r="AC1" s="28">
        <f>AB1+1</f>
        <v>46049</v>
      </c>
      <c r="AD1" s="28">
        <f>AC1+1</f>
        <v>46050</v>
      </c>
      <c r="AE1" s="28">
        <f>AD1+1</f>
        <v>46051</v>
      </c>
      <c r="AF1" s="28">
        <f>AE1+1</f>
        <v>46052</v>
      </c>
      <c r="AG1" s="28">
        <f>AF1+1</f>
        <v>46053</v>
      </c>
      <c r="AH1" s="29"/>
    </row>
    <row r="2" spans="1:34" ht="15" customHeight="1" x14ac:dyDescent="0.25">
      <c r="A2" s="30" t="s">
        <v>9</v>
      </c>
      <c r="B2" s="31">
        <f>SUM(C2:AG2)</f>
        <v>67358.349999999991</v>
      </c>
      <c r="C2" s="32">
        <f>SUMIFS(ecommerce_sales_1000_records!$E:E,ecommerce_sales_1000_records!$G:G,MTD!C$1,ecommerce_sales_1000_records!$C:C,MTD!$A2)</f>
        <v>1702.23</v>
      </c>
      <c r="D2" s="32">
        <f>SUMIFS(ecommerce_sales_1000_records!$E:F,ecommerce_sales_1000_records!$G:H,MTD!D$1,ecommerce_sales_1000_records!$C:D,MTD!$A2)</f>
        <v>0</v>
      </c>
      <c r="E2" s="32">
        <f>SUMIFS(ecommerce_sales_1000_records!$E:G,ecommerce_sales_1000_records!$G:I,MTD!E$1,ecommerce_sales_1000_records!$C:E,MTD!$A2)</f>
        <v>1784.6</v>
      </c>
      <c r="F2" s="32">
        <f>SUMIFS(ecommerce_sales_1000_records!$E:H,ecommerce_sales_1000_records!$G:J,MTD!F$1,ecommerce_sales_1000_records!$C:F,MTD!$A2)</f>
        <v>0</v>
      </c>
      <c r="G2" s="32">
        <f>SUMIFS(ecommerce_sales_1000_records!$E:I,ecommerce_sales_1000_records!$G:K,MTD!G$1,ecommerce_sales_1000_records!$C:G,MTD!$A2)</f>
        <v>0</v>
      </c>
      <c r="H2" s="32">
        <f>SUMIFS(ecommerce_sales_1000_records!$E:J,ecommerce_sales_1000_records!$G:L,MTD!H$1,ecommerce_sales_1000_records!$C:H,MTD!$A2)</f>
        <v>0</v>
      </c>
      <c r="I2" s="32">
        <f>SUMIFS(ecommerce_sales_1000_records!$E:K,ecommerce_sales_1000_records!$G:M,MTD!I$1,ecommerce_sales_1000_records!$C:I,MTD!$A2)</f>
        <v>0</v>
      </c>
      <c r="J2" s="32">
        <f>SUMIFS(ecommerce_sales_1000_records!$E:L,ecommerce_sales_1000_records!$G:N,MTD!J$1,ecommerce_sales_1000_records!$C:J,MTD!$A2)</f>
        <v>5281.48</v>
      </c>
      <c r="K2" s="32">
        <f>SUMIFS(ecommerce_sales_1000_records!$E:M,ecommerce_sales_1000_records!$G:O,MTD!K$1,ecommerce_sales_1000_records!$C:K,MTD!$A2)</f>
        <v>0</v>
      </c>
      <c r="L2" s="32">
        <f>SUMIFS(ecommerce_sales_1000_records!$E:N,ecommerce_sales_1000_records!$G:P,MTD!L$1,ecommerce_sales_1000_records!$C:L,MTD!$A2)</f>
        <v>0</v>
      </c>
      <c r="M2" s="32">
        <f>SUMIFS(ecommerce_sales_1000_records!$E:O,ecommerce_sales_1000_records!$G:Q,MTD!M$1,ecommerce_sales_1000_records!$C:M,MTD!$A2)</f>
        <v>0</v>
      </c>
      <c r="N2" s="32">
        <f>SUMIFS(ecommerce_sales_1000_records!$E:P,ecommerce_sales_1000_records!$G:R,MTD!N$1,ecommerce_sales_1000_records!$C:N,MTD!$A2)</f>
        <v>5354.94</v>
      </c>
      <c r="O2" s="32">
        <f>SUMIFS(ecommerce_sales_1000_records!$E:Q,ecommerce_sales_1000_records!$G:S,MTD!O$1,ecommerce_sales_1000_records!$C:O,MTD!$A2)</f>
        <v>1727.06</v>
      </c>
      <c r="P2" s="32">
        <f>SUMIFS(ecommerce_sales_1000_records!$E:R,ecommerce_sales_1000_records!$G:T,MTD!P$1,ecommerce_sales_1000_records!$C:P,MTD!$A2)</f>
        <v>3764.08</v>
      </c>
      <c r="Q2" s="32">
        <f>SUMIFS(ecommerce_sales_1000_records!$E:S,ecommerce_sales_1000_records!$G:U,MTD!Q$1,ecommerce_sales_1000_records!$C:Q,MTD!$A2)</f>
        <v>4876.1899999999996</v>
      </c>
      <c r="R2" s="32">
        <f>SUMIFS(ecommerce_sales_1000_records!$E:T,ecommerce_sales_1000_records!$G:V,MTD!R$1,ecommerce_sales_1000_records!$C:R,MTD!$A2)</f>
        <v>0</v>
      </c>
      <c r="S2" s="32">
        <f>SUMIFS(ecommerce_sales_1000_records!$E:U,ecommerce_sales_1000_records!$G:W,MTD!S$1,ecommerce_sales_1000_records!$C:S,MTD!$A2)</f>
        <v>0</v>
      </c>
      <c r="T2" s="32">
        <f>SUMIFS(ecommerce_sales_1000_records!$E:V,ecommerce_sales_1000_records!$G:X,MTD!T$1,ecommerce_sales_1000_records!$C:T,MTD!$A2)</f>
        <v>7149.9299999999994</v>
      </c>
      <c r="U2" s="32">
        <f>SUMIFS(ecommerce_sales_1000_records!$E:W,ecommerce_sales_1000_records!$G:Y,MTD!U$1,ecommerce_sales_1000_records!$C:U,MTD!$A2)</f>
        <v>0</v>
      </c>
      <c r="V2" s="32">
        <f>SUMIFS(ecommerce_sales_1000_records!$E:X,ecommerce_sales_1000_records!$G:Z,MTD!V$1,ecommerce_sales_1000_records!$C:V,MTD!$A2)</f>
        <v>18443.699999999997</v>
      </c>
      <c r="W2" s="32">
        <f>SUMIFS(ecommerce_sales_1000_records!$E:Y,ecommerce_sales_1000_records!$G:AA,MTD!W$1,ecommerce_sales_1000_records!$C:W,MTD!$A2)</f>
        <v>0</v>
      </c>
      <c r="X2" s="32">
        <f>SUMIFS(ecommerce_sales_1000_records!$E:Z,ecommerce_sales_1000_records!$G:AB,MTD!X$1,ecommerce_sales_1000_records!$C:X,MTD!$A2)</f>
        <v>0</v>
      </c>
      <c r="Y2" s="32">
        <f>SUMIFS(ecommerce_sales_1000_records!$E:AA,ecommerce_sales_1000_records!$G:AC,MTD!Y$1,ecommerce_sales_1000_records!$C:Y,MTD!$A2)</f>
        <v>0</v>
      </c>
      <c r="Z2" s="32">
        <f>SUMIFS(ecommerce_sales_1000_records!$E:AB,ecommerce_sales_1000_records!$G:AD,MTD!Z$1,ecommerce_sales_1000_records!$C:Z,MTD!$A2)</f>
        <v>8603.08</v>
      </c>
      <c r="AA2" s="32">
        <f>SUMIFS(ecommerce_sales_1000_records!$E:AC,ecommerce_sales_1000_records!$G:AE,MTD!AA$1,ecommerce_sales_1000_records!$C:AA,MTD!$A2)</f>
        <v>1735.31</v>
      </c>
      <c r="AB2" s="32">
        <f>SUMIFS(ecommerce_sales_1000_records!$E:AD,ecommerce_sales_1000_records!$G:AF,MTD!AB$1,ecommerce_sales_1000_records!$C:AB,MTD!$A2)</f>
        <v>0</v>
      </c>
      <c r="AC2" s="32">
        <f>SUMIFS(ecommerce_sales_1000_records!$E:AE,ecommerce_sales_1000_records!$G:AG,MTD!AC$1,ecommerce_sales_1000_records!$C:AC,MTD!$A2)</f>
        <v>1931.38</v>
      </c>
      <c r="AD2" s="32">
        <f>SUMIFS(ecommerce_sales_1000_records!$E:AF,ecommerce_sales_1000_records!$G:AH,MTD!AD$1,ecommerce_sales_1000_records!$C:AD,MTD!$A2)</f>
        <v>1641.82</v>
      </c>
      <c r="AE2" s="32">
        <f>SUMIFS(ecommerce_sales_1000_records!$E:AG,ecommerce_sales_1000_records!$G:AI,MTD!AE$1,ecommerce_sales_1000_records!$C:AE,MTD!$A2)</f>
        <v>0</v>
      </c>
      <c r="AF2" s="32">
        <f>SUMIFS(ecommerce_sales_1000_records!$E:AH,ecommerce_sales_1000_records!$G:AJ,MTD!AF$1,ecommerce_sales_1000_records!$C:AF,MTD!$A2)</f>
        <v>1739.21</v>
      </c>
      <c r="AG2" s="32">
        <f>SUMIFS(ecommerce_sales_1000_records!$E:AI,ecommerce_sales_1000_records!$G:AK,MTD!AG$1,ecommerce_sales_1000_records!$C:AG,MTD!$A2)</f>
        <v>1623.34</v>
      </c>
    </row>
    <row r="3" spans="1:34" ht="15" customHeight="1" x14ac:dyDescent="0.25">
      <c r="A3" s="30" t="s">
        <v>13</v>
      </c>
      <c r="B3" s="31">
        <f t="shared" ref="B3:B6" si="0">SUM(C3:AG3)</f>
        <v>1518547.99</v>
      </c>
      <c r="C3" s="32">
        <f>SUMIFS(ecommerce_sales_1000_records!$E:E,ecommerce_sales_1000_records!$G:G,MTD!C$1,ecommerce_sales_1000_records!$C:C,MTD!$A3)</f>
        <v>39574.339999999997</v>
      </c>
      <c r="D3" s="32">
        <f>SUMIFS(ecommerce_sales_1000_records!$E:F,ecommerce_sales_1000_records!$G:H,MTD!D$1,ecommerce_sales_1000_records!$C:D,MTD!$A3)</f>
        <v>90019.45</v>
      </c>
      <c r="E3" s="32">
        <f>SUMIFS(ecommerce_sales_1000_records!$E:G,ecommerce_sales_1000_records!$G:I,MTD!E$1,ecommerce_sales_1000_records!$C:E,MTD!$A3)</f>
        <v>25731.99</v>
      </c>
      <c r="F3" s="32">
        <f>SUMIFS(ecommerce_sales_1000_records!$E:H,ecommerce_sales_1000_records!$G:J,MTD!F$1,ecommerce_sales_1000_records!$C:F,MTD!$A3)</f>
        <v>82172.81</v>
      </c>
      <c r="G3" s="32">
        <f>SUMIFS(ecommerce_sales_1000_records!$E:I,ecommerce_sales_1000_records!$G:K,MTD!G$1,ecommerce_sales_1000_records!$C:G,MTD!$A3)</f>
        <v>61141.17</v>
      </c>
      <c r="H3" s="32">
        <f>SUMIFS(ecommerce_sales_1000_records!$E:J,ecommerce_sales_1000_records!$G:L,MTD!H$1,ecommerce_sales_1000_records!$C:H,MTD!$A3)</f>
        <v>114777.22</v>
      </c>
      <c r="I3" s="32">
        <f>SUMIFS(ecommerce_sales_1000_records!$E:K,ecommerce_sales_1000_records!$G:M,MTD!I$1,ecommerce_sales_1000_records!$C:I,MTD!$A3)</f>
        <v>0</v>
      </c>
      <c r="J3" s="32">
        <f>SUMIFS(ecommerce_sales_1000_records!$E:L,ecommerce_sales_1000_records!$G:N,MTD!J$1,ecommerce_sales_1000_records!$C:J,MTD!$A3)</f>
        <v>27684.6</v>
      </c>
      <c r="K3" s="32">
        <f>SUMIFS(ecommerce_sales_1000_records!$E:M,ecommerce_sales_1000_records!$G:O,MTD!K$1,ecommerce_sales_1000_records!$C:K,MTD!$A3)</f>
        <v>81539.12</v>
      </c>
      <c r="L3" s="32">
        <f>SUMIFS(ecommerce_sales_1000_records!$E:N,ecommerce_sales_1000_records!$G:P,MTD!L$1,ecommerce_sales_1000_records!$C:L,MTD!$A3)</f>
        <v>25774.799999999999</v>
      </c>
      <c r="M3" s="32">
        <f>SUMIFS(ecommerce_sales_1000_records!$E:O,ecommerce_sales_1000_records!$G:Q,MTD!M$1,ecommerce_sales_1000_records!$C:M,MTD!$A3)</f>
        <v>72650.23000000001</v>
      </c>
      <c r="N3" s="32">
        <f>SUMIFS(ecommerce_sales_1000_records!$E:P,ecommerce_sales_1000_records!$G:R,MTD!N$1,ecommerce_sales_1000_records!$C:N,MTD!$A3)</f>
        <v>50195.61</v>
      </c>
      <c r="O3" s="32">
        <f>SUMIFS(ecommerce_sales_1000_records!$E:Q,ecommerce_sales_1000_records!$G:S,MTD!O$1,ecommerce_sales_1000_records!$C:O,MTD!$A3)</f>
        <v>16641.099999999999</v>
      </c>
      <c r="P3" s="32">
        <f>SUMIFS(ecommerce_sales_1000_records!$E:R,ecommerce_sales_1000_records!$G:T,MTD!P$1,ecommerce_sales_1000_records!$C:P,MTD!$A3)</f>
        <v>46596.67</v>
      </c>
      <c r="Q3" s="32">
        <f>SUMIFS(ecommerce_sales_1000_records!$E:S,ecommerce_sales_1000_records!$G:U,MTD!Q$1,ecommerce_sales_1000_records!$C:Q,MTD!$A3)</f>
        <v>25541.360000000001</v>
      </c>
      <c r="R3" s="32">
        <f>SUMIFS(ecommerce_sales_1000_records!$E:T,ecommerce_sales_1000_records!$G:V,MTD!R$1,ecommerce_sales_1000_records!$C:R,MTD!$A3)</f>
        <v>0</v>
      </c>
      <c r="S3" s="32">
        <f>SUMIFS(ecommerce_sales_1000_records!$E:U,ecommerce_sales_1000_records!$G:W,MTD!S$1,ecommerce_sales_1000_records!$C:S,MTD!$A3)</f>
        <v>0</v>
      </c>
      <c r="T3" s="32">
        <f>SUMIFS(ecommerce_sales_1000_records!$E:V,ecommerce_sales_1000_records!$G:X,MTD!T$1,ecommerce_sales_1000_records!$C:T,MTD!$A3)</f>
        <v>107494.87</v>
      </c>
      <c r="U3" s="32">
        <f>SUMIFS(ecommerce_sales_1000_records!$E:W,ecommerce_sales_1000_records!$G:Y,MTD!U$1,ecommerce_sales_1000_records!$C:U,MTD!$A3)</f>
        <v>144208.21000000002</v>
      </c>
      <c r="V3" s="32">
        <f>SUMIFS(ecommerce_sales_1000_records!$E:X,ecommerce_sales_1000_records!$G:Z,MTD!V$1,ecommerce_sales_1000_records!$C:V,MTD!$A3)</f>
        <v>90186.18</v>
      </c>
      <c r="W3" s="32">
        <f>SUMIFS(ecommerce_sales_1000_records!$E:Y,ecommerce_sales_1000_records!$G:AA,MTD!W$1,ecommerce_sales_1000_records!$C:W,MTD!$A3)</f>
        <v>3810.2</v>
      </c>
      <c r="X3" s="32">
        <f>SUMIFS(ecommerce_sales_1000_records!$E:Z,ecommerce_sales_1000_records!$G:AB,MTD!X$1,ecommerce_sales_1000_records!$C:X,MTD!$A3)</f>
        <v>80616.570000000007</v>
      </c>
      <c r="Y3" s="32">
        <f>SUMIFS(ecommerce_sales_1000_records!$E:AA,ecommerce_sales_1000_records!$G:AC,MTD!Y$1,ecommerce_sales_1000_records!$C:Y,MTD!$A3)</f>
        <v>1570.94</v>
      </c>
      <c r="Z3" s="32">
        <f>SUMIFS(ecommerce_sales_1000_records!$E:AB,ecommerce_sales_1000_records!$G:AD,MTD!Z$1,ecommerce_sales_1000_records!$C:Z,MTD!$A3)</f>
        <v>0</v>
      </c>
      <c r="AA3" s="32">
        <f>SUMIFS(ecommerce_sales_1000_records!$E:AC,ecommerce_sales_1000_records!$G:AE,MTD!AA$1,ecommerce_sales_1000_records!$C:AA,MTD!$A3)</f>
        <v>17818.55</v>
      </c>
      <c r="AB3" s="32">
        <f>SUMIFS(ecommerce_sales_1000_records!$E:AD,ecommerce_sales_1000_records!$G:AF,MTD!AB$1,ecommerce_sales_1000_records!$C:AB,MTD!$A3)</f>
        <v>0</v>
      </c>
      <c r="AC3" s="32">
        <f>SUMIFS(ecommerce_sales_1000_records!$E:AE,ecommerce_sales_1000_records!$G:AG,MTD!AC$1,ecommerce_sales_1000_records!$C:AC,MTD!$A3)</f>
        <v>115436.6</v>
      </c>
      <c r="AD3" s="32">
        <f>SUMIFS(ecommerce_sales_1000_records!$E:AF,ecommerce_sales_1000_records!$G:AH,MTD!AD$1,ecommerce_sales_1000_records!$C:AD,MTD!$A3)</f>
        <v>71299.45</v>
      </c>
      <c r="AE3" s="32">
        <f>SUMIFS(ecommerce_sales_1000_records!$E:AG,ecommerce_sales_1000_records!$G:AI,MTD!AE$1,ecommerce_sales_1000_records!$C:AE,MTD!$A3)</f>
        <v>55952.7</v>
      </c>
      <c r="AF3" s="32">
        <f>SUMIFS(ecommerce_sales_1000_records!$E:AH,ecommerce_sales_1000_records!$G:AJ,MTD!AF$1,ecommerce_sales_1000_records!$C:AF,MTD!$A3)</f>
        <v>50448.34</v>
      </c>
      <c r="AG3" s="32">
        <f>SUMIFS(ecommerce_sales_1000_records!$E:AI,ecommerce_sales_1000_records!$G:AK,MTD!AG$1,ecommerce_sales_1000_records!$C:AG,MTD!$A3)</f>
        <v>19664.91</v>
      </c>
    </row>
    <row r="4" spans="1:34" ht="15" customHeight="1" x14ac:dyDescent="0.25">
      <c r="A4" s="30" t="s">
        <v>17</v>
      </c>
      <c r="B4" s="31">
        <f t="shared" si="0"/>
        <v>6033.74</v>
      </c>
      <c r="C4" s="32">
        <f>SUMIFS(ecommerce_sales_1000_records!$E:E,ecommerce_sales_1000_records!$G:G,MTD!C$1,ecommerce_sales_1000_records!$C:C,MTD!$A4)</f>
        <v>0</v>
      </c>
      <c r="D4" s="32">
        <f>SUMIFS(ecommerce_sales_1000_records!$E:F,ecommerce_sales_1000_records!$G:H,MTD!D$1,ecommerce_sales_1000_records!$C:D,MTD!$A4)</f>
        <v>425.71</v>
      </c>
      <c r="E4" s="32">
        <f>SUMIFS(ecommerce_sales_1000_records!$E:G,ecommerce_sales_1000_records!$G:I,MTD!E$1,ecommerce_sales_1000_records!$C:E,MTD!$A4)</f>
        <v>0</v>
      </c>
      <c r="F4" s="32">
        <f>SUMIFS(ecommerce_sales_1000_records!$E:H,ecommerce_sales_1000_records!$G:J,MTD!F$1,ecommerce_sales_1000_records!$C:F,MTD!$A4)</f>
        <v>0</v>
      </c>
      <c r="G4" s="32">
        <f>SUMIFS(ecommerce_sales_1000_records!$E:I,ecommerce_sales_1000_records!$G:K,MTD!G$1,ecommerce_sales_1000_records!$C:G,MTD!$A4)</f>
        <v>0</v>
      </c>
      <c r="H4" s="32">
        <f>SUMIFS(ecommerce_sales_1000_records!$E:J,ecommerce_sales_1000_records!$G:L,MTD!H$1,ecommerce_sales_1000_records!$C:H,MTD!$A4)</f>
        <v>0</v>
      </c>
      <c r="I4" s="32">
        <f>SUMIFS(ecommerce_sales_1000_records!$E:K,ecommerce_sales_1000_records!$G:M,MTD!I$1,ecommerce_sales_1000_records!$C:I,MTD!$A4)</f>
        <v>0</v>
      </c>
      <c r="J4" s="32">
        <f>SUMIFS(ecommerce_sales_1000_records!$E:L,ecommerce_sales_1000_records!$G:N,MTD!J$1,ecommerce_sales_1000_records!$C:J,MTD!$A4)</f>
        <v>0</v>
      </c>
      <c r="K4" s="32">
        <f>SUMIFS(ecommerce_sales_1000_records!$E:M,ecommerce_sales_1000_records!$G:O,MTD!K$1,ecommerce_sales_1000_records!$C:K,MTD!$A4)</f>
        <v>489.51</v>
      </c>
      <c r="L4" s="32">
        <f>SUMIFS(ecommerce_sales_1000_records!$E:N,ecommerce_sales_1000_records!$G:P,MTD!L$1,ecommerce_sales_1000_records!$C:L,MTD!$A4)</f>
        <v>466.27</v>
      </c>
      <c r="M4" s="32">
        <f>SUMIFS(ecommerce_sales_1000_records!$E:O,ecommerce_sales_1000_records!$G:Q,MTD!M$1,ecommerce_sales_1000_records!$C:M,MTD!$A4)</f>
        <v>476.66</v>
      </c>
      <c r="N4" s="32">
        <f>SUMIFS(ecommerce_sales_1000_records!$E:P,ecommerce_sales_1000_records!$G:R,MTD!N$1,ecommerce_sales_1000_records!$C:N,MTD!$A4)</f>
        <v>932.91</v>
      </c>
      <c r="O4" s="32">
        <f>SUMIFS(ecommerce_sales_1000_records!$E:Q,ecommerce_sales_1000_records!$G:S,MTD!O$1,ecommerce_sales_1000_records!$C:O,MTD!$A4)</f>
        <v>0</v>
      </c>
      <c r="P4" s="32">
        <f>SUMIFS(ecommerce_sales_1000_records!$E:R,ecommerce_sales_1000_records!$G:T,MTD!P$1,ecommerce_sales_1000_records!$C:P,MTD!$A4)</f>
        <v>0</v>
      </c>
      <c r="Q4" s="32">
        <f>SUMIFS(ecommerce_sales_1000_records!$E:S,ecommerce_sales_1000_records!$G:U,MTD!Q$1,ecommerce_sales_1000_records!$C:Q,MTD!$A4)</f>
        <v>0</v>
      </c>
      <c r="R4" s="32">
        <f>SUMIFS(ecommerce_sales_1000_records!$E:T,ecommerce_sales_1000_records!$G:V,MTD!R$1,ecommerce_sales_1000_records!$C:R,MTD!$A4)</f>
        <v>0</v>
      </c>
      <c r="S4" s="32">
        <f>SUMIFS(ecommerce_sales_1000_records!$E:U,ecommerce_sales_1000_records!$G:W,MTD!S$1,ecommerce_sales_1000_records!$C:S,MTD!$A4)</f>
        <v>476.03</v>
      </c>
      <c r="T4" s="32">
        <f>SUMIFS(ecommerce_sales_1000_records!$E:V,ecommerce_sales_1000_records!$G:X,MTD!T$1,ecommerce_sales_1000_records!$C:T,MTD!$A4)</f>
        <v>472.17</v>
      </c>
      <c r="U4" s="32">
        <f>SUMIFS(ecommerce_sales_1000_records!$E:W,ecommerce_sales_1000_records!$G:Y,MTD!U$1,ecommerce_sales_1000_records!$C:U,MTD!$A4)</f>
        <v>0</v>
      </c>
      <c r="V4" s="32">
        <f>SUMIFS(ecommerce_sales_1000_records!$E:X,ecommerce_sales_1000_records!$G:Z,MTD!V$1,ecommerce_sales_1000_records!$C:V,MTD!$A4)</f>
        <v>0</v>
      </c>
      <c r="W4" s="32">
        <f>SUMIFS(ecommerce_sales_1000_records!$E:Y,ecommerce_sales_1000_records!$G:AA,MTD!W$1,ecommerce_sales_1000_records!$C:W,MTD!$A4)</f>
        <v>0</v>
      </c>
      <c r="X4" s="32">
        <f>SUMIFS(ecommerce_sales_1000_records!$E:Z,ecommerce_sales_1000_records!$G:AB,MTD!X$1,ecommerce_sales_1000_records!$C:X,MTD!$A4)</f>
        <v>440.47</v>
      </c>
      <c r="Y4" s="32">
        <f>SUMIFS(ecommerce_sales_1000_records!$E:AA,ecommerce_sales_1000_records!$G:AC,MTD!Y$1,ecommerce_sales_1000_records!$C:Y,MTD!$A4)</f>
        <v>0</v>
      </c>
      <c r="Z4" s="32">
        <f>SUMIFS(ecommerce_sales_1000_records!$E:AB,ecommerce_sales_1000_records!$G:AD,MTD!Z$1,ecommerce_sales_1000_records!$C:Z,MTD!$A4)</f>
        <v>0</v>
      </c>
      <c r="AA4" s="32">
        <f>SUMIFS(ecommerce_sales_1000_records!$E:AC,ecommerce_sales_1000_records!$G:AE,MTD!AA$1,ecommerce_sales_1000_records!$C:AA,MTD!$A4)</f>
        <v>0</v>
      </c>
      <c r="AB4" s="32">
        <f>SUMIFS(ecommerce_sales_1000_records!$E:AD,ecommerce_sales_1000_records!$G:AF,MTD!AB$1,ecommerce_sales_1000_records!$C:AB,MTD!$A4)</f>
        <v>482.4</v>
      </c>
      <c r="AC4" s="32">
        <f>SUMIFS(ecommerce_sales_1000_records!$E:AE,ecommerce_sales_1000_records!$G:AG,MTD!AC$1,ecommerce_sales_1000_records!$C:AC,MTD!$A4)</f>
        <v>454.09</v>
      </c>
      <c r="AD4" s="32">
        <f>SUMIFS(ecommerce_sales_1000_records!$E:AF,ecommerce_sales_1000_records!$G:AH,MTD!AD$1,ecommerce_sales_1000_records!$C:AD,MTD!$A4)</f>
        <v>0</v>
      </c>
      <c r="AE4" s="32">
        <f>SUMIFS(ecommerce_sales_1000_records!$E:AG,ecommerce_sales_1000_records!$G:AI,MTD!AE$1,ecommerce_sales_1000_records!$C:AE,MTD!$A4)</f>
        <v>452.03</v>
      </c>
      <c r="AF4" s="32">
        <f>SUMIFS(ecommerce_sales_1000_records!$E:AH,ecommerce_sales_1000_records!$G:AJ,MTD!AF$1,ecommerce_sales_1000_records!$C:AF,MTD!$A4)</f>
        <v>0</v>
      </c>
      <c r="AG4" s="32">
        <f>SUMIFS(ecommerce_sales_1000_records!$E:AI,ecommerce_sales_1000_records!$G:AK,MTD!AG$1,ecommerce_sales_1000_records!$C:AG,MTD!$A4)</f>
        <v>465.49</v>
      </c>
    </row>
    <row r="5" spans="1:34" ht="15" customHeight="1" x14ac:dyDescent="0.25">
      <c r="A5" s="30" t="s">
        <v>25</v>
      </c>
      <c r="B5" s="31">
        <f t="shared" si="0"/>
        <v>65031.48</v>
      </c>
      <c r="C5" s="32">
        <f>SUMIFS(ecommerce_sales_1000_records!$E:E,ecommerce_sales_1000_records!$G:G,MTD!C$1,ecommerce_sales_1000_records!$C:C,MTD!$A5)</f>
        <v>4658</v>
      </c>
      <c r="D5" s="32">
        <f>SUMIFS(ecommerce_sales_1000_records!$E:F,ecommerce_sales_1000_records!$G:H,MTD!D$1,ecommerce_sales_1000_records!$C:D,MTD!$A5)</f>
        <v>1914.82</v>
      </c>
      <c r="E5" s="32">
        <f>SUMIFS(ecommerce_sales_1000_records!$E:G,ecommerce_sales_1000_records!$G:I,MTD!E$1,ecommerce_sales_1000_records!$C:E,MTD!$A5)</f>
        <v>766.73</v>
      </c>
      <c r="F5" s="32">
        <f>SUMIFS(ecommerce_sales_1000_records!$E:H,ecommerce_sales_1000_records!$G:J,MTD!F$1,ecommerce_sales_1000_records!$C:F,MTD!$A5)</f>
        <v>2185.2399999999998</v>
      </c>
      <c r="G5" s="32">
        <f>SUMIFS(ecommerce_sales_1000_records!$E:I,ecommerce_sales_1000_records!$G:K,MTD!G$1,ecommerce_sales_1000_records!$C:G,MTD!$A5)</f>
        <v>1865.02</v>
      </c>
      <c r="H5" s="32">
        <f>SUMIFS(ecommerce_sales_1000_records!$E:J,ecommerce_sales_1000_records!$G:L,MTD!H$1,ecommerce_sales_1000_records!$C:H,MTD!$A5)</f>
        <v>2396.98</v>
      </c>
      <c r="I5" s="32">
        <f>SUMIFS(ecommerce_sales_1000_records!$E:K,ecommerce_sales_1000_records!$G:M,MTD!I$1,ecommerce_sales_1000_records!$C:I,MTD!$A5)</f>
        <v>847.99</v>
      </c>
      <c r="J5" s="32">
        <f>SUMIFS(ecommerce_sales_1000_records!$E:L,ecommerce_sales_1000_records!$G:N,MTD!J$1,ecommerce_sales_1000_records!$C:J,MTD!$A5)</f>
        <v>0</v>
      </c>
      <c r="K5" s="32">
        <f>SUMIFS(ecommerce_sales_1000_records!$E:M,ecommerce_sales_1000_records!$G:O,MTD!K$1,ecommerce_sales_1000_records!$C:K,MTD!$A5)</f>
        <v>3744.79</v>
      </c>
      <c r="L5" s="32">
        <f>SUMIFS(ecommerce_sales_1000_records!$E:N,ecommerce_sales_1000_records!$G:P,MTD!L$1,ecommerce_sales_1000_records!$C:L,MTD!$A5)</f>
        <v>5556.19</v>
      </c>
      <c r="M5" s="32">
        <f>SUMIFS(ecommerce_sales_1000_records!$E:O,ecommerce_sales_1000_records!$G:Q,MTD!M$1,ecommerce_sales_1000_records!$C:M,MTD!$A5)</f>
        <v>3430.55</v>
      </c>
      <c r="N5" s="32">
        <f>SUMIFS(ecommerce_sales_1000_records!$E:P,ecommerce_sales_1000_records!$G:R,MTD!N$1,ecommerce_sales_1000_records!$C:N,MTD!$A5)</f>
        <v>0</v>
      </c>
      <c r="O5" s="32">
        <f>SUMIFS(ecommerce_sales_1000_records!$E:Q,ecommerce_sales_1000_records!$G:S,MTD!O$1,ecommerce_sales_1000_records!$C:O,MTD!$A5)</f>
        <v>0</v>
      </c>
      <c r="P5" s="32">
        <f>SUMIFS(ecommerce_sales_1000_records!$E:R,ecommerce_sales_1000_records!$G:T,MTD!P$1,ecommerce_sales_1000_records!$C:P,MTD!$A5)</f>
        <v>0</v>
      </c>
      <c r="Q5" s="32">
        <f>SUMIFS(ecommerce_sales_1000_records!$E:S,ecommerce_sales_1000_records!$G:U,MTD!Q$1,ecommerce_sales_1000_records!$C:Q,MTD!$A5)</f>
        <v>797.47</v>
      </c>
      <c r="R5" s="32">
        <f>SUMIFS(ecommerce_sales_1000_records!$E:T,ecommerce_sales_1000_records!$G:V,MTD!R$1,ecommerce_sales_1000_records!$C:R,MTD!$A5)</f>
        <v>2708.31</v>
      </c>
      <c r="S5" s="32">
        <f>SUMIFS(ecommerce_sales_1000_records!$E:U,ecommerce_sales_1000_records!$G:W,MTD!S$1,ecommerce_sales_1000_records!$C:S,MTD!$A5)</f>
        <v>2679.45</v>
      </c>
      <c r="T5" s="32">
        <f>SUMIFS(ecommerce_sales_1000_records!$E:V,ecommerce_sales_1000_records!$G:X,MTD!T$1,ecommerce_sales_1000_records!$C:T,MTD!$A5)</f>
        <v>5390.28</v>
      </c>
      <c r="U5" s="32">
        <f>SUMIFS(ecommerce_sales_1000_records!$E:W,ecommerce_sales_1000_records!$G:Y,MTD!U$1,ecommerce_sales_1000_records!$C:U,MTD!$A5)</f>
        <v>4944.9399999999996</v>
      </c>
      <c r="V5" s="32">
        <f>SUMIFS(ecommerce_sales_1000_records!$E:X,ecommerce_sales_1000_records!$G:Z,MTD!V$1,ecommerce_sales_1000_records!$C:V,MTD!$A5)</f>
        <v>2692.89</v>
      </c>
      <c r="W5" s="32">
        <f>SUMIFS(ecommerce_sales_1000_records!$E:Y,ecommerce_sales_1000_records!$G:AA,MTD!W$1,ecommerce_sales_1000_records!$C:W,MTD!$A5)</f>
        <v>2708.2</v>
      </c>
      <c r="X5" s="32">
        <f>SUMIFS(ecommerce_sales_1000_records!$E:Z,ecommerce_sales_1000_records!$G:AB,MTD!X$1,ecommerce_sales_1000_records!$C:X,MTD!$A5)</f>
        <v>0</v>
      </c>
      <c r="Y5" s="32">
        <f>SUMIFS(ecommerce_sales_1000_records!$E:AA,ecommerce_sales_1000_records!$G:AC,MTD!Y$1,ecommerce_sales_1000_records!$C:Y,MTD!$A5)</f>
        <v>864.65</v>
      </c>
      <c r="Z5" s="32">
        <f>SUMIFS(ecommerce_sales_1000_records!$E:AB,ecommerce_sales_1000_records!$G:AD,MTD!Z$1,ecommerce_sales_1000_records!$C:Z,MTD!$A5)</f>
        <v>3487.8999999999996</v>
      </c>
      <c r="AA5" s="32">
        <f>SUMIFS(ecommerce_sales_1000_records!$E:AC,ecommerce_sales_1000_records!$G:AE,MTD!AA$1,ecommerce_sales_1000_records!$C:AA,MTD!$A5)</f>
        <v>0</v>
      </c>
      <c r="AB5" s="32">
        <f>SUMIFS(ecommerce_sales_1000_records!$E:AD,ecommerce_sales_1000_records!$G:AF,MTD!AB$1,ecommerce_sales_1000_records!$C:AB,MTD!$A5)</f>
        <v>7467.16</v>
      </c>
      <c r="AC5" s="32">
        <f>SUMIFS(ecommerce_sales_1000_records!$E:AE,ecommerce_sales_1000_records!$G:AG,MTD!AC$1,ecommerce_sales_1000_records!$C:AC,MTD!$A5)</f>
        <v>1887.41</v>
      </c>
      <c r="AD5" s="32">
        <f>SUMIFS(ecommerce_sales_1000_records!$E:AF,ecommerce_sales_1000_records!$G:AH,MTD!AD$1,ecommerce_sales_1000_records!$C:AD,MTD!$A5)</f>
        <v>2036.51</v>
      </c>
      <c r="AE5" s="32">
        <f>SUMIFS(ecommerce_sales_1000_records!$E:AG,ecommerce_sales_1000_records!$G:AI,MTD!AE$1,ecommerce_sales_1000_records!$C:AE,MTD!$A5)</f>
        <v>0</v>
      </c>
      <c r="AF5" s="32">
        <f>SUMIFS(ecommerce_sales_1000_records!$E:AH,ecommerce_sales_1000_records!$G:AJ,MTD!AF$1,ecommerce_sales_1000_records!$C:AF,MTD!$A5)</f>
        <v>0</v>
      </c>
      <c r="AG5" s="32">
        <f>SUMIFS(ecommerce_sales_1000_records!$E:AI,ecommerce_sales_1000_records!$G:AK,MTD!AG$1,ecommerce_sales_1000_records!$C:AG,MTD!$A5)</f>
        <v>0</v>
      </c>
    </row>
    <row r="6" spans="1:34" ht="15" customHeight="1" x14ac:dyDescent="0.25">
      <c r="A6" s="30" t="s">
        <v>39</v>
      </c>
      <c r="B6" s="31">
        <f t="shared" si="0"/>
        <v>154798.52000000005</v>
      </c>
      <c r="C6" s="32">
        <f>SUMIFS(ecommerce_sales_1000_records!$E:E,ecommerce_sales_1000_records!$G:G,MTD!C$1,ecommerce_sales_1000_records!$C:C,MTD!$A6)</f>
        <v>4391.3999999999996</v>
      </c>
      <c r="D6" s="32">
        <f>SUMIFS(ecommerce_sales_1000_records!$E:F,ecommerce_sales_1000_records!$G:H,MTD!D$1,ecommerce_sales_1000_records!$C:D,MTD!$A6)</f>
        <v>3898.75</v>
      </c>
      <c r="E6" s="32">
        <f>SUMIFS(ecommerce_sales_1000_records!$E:G,ecommerce_sales_1000_records!$G:I,MTD!E$1,ecommerce_sales_1000_records!$C:E,MTD!$A6)</f>
        <v>0</v>
      </c>
      <c r="F6" s="32">
        <f>SUMIFS(ecommerce_sales_1000_records!$E:H,ecommerce_sales_1000_records!$G:J,MTD!F$1,ecommerce_sales_1000_records!$C:F,MTD!$A6)</f>
        <v>3218.54</v>
      </c>
      <c r="G6" s="32">
        <f>SUMIFS(ecommerce_sales_1000_records!$E:I,ecommerce_sales_1000_records!$G:K,MTD!G$1,ecommerce_sales_1000_records!$C:G,MTD!$A6)</f>
        <v>0</v>
      </c>
      <c r="H6" s="32">
        <f>SUMIFS(ecommerce_sales_1000_records!$E:J,ecommerce_sales_1000_records!$G:L,MTD!H$1,ecommerce_sales_1000_records!$C:H,MTD!$A6)</f>
        <v>0</v>
      </c>
      <c r="I6" s="32">
        <f>SUMIFS(ecommerce_sales_1000_records!$E:K,ecommerce_sales_1000_records!$G:M,MTD!I$1,ecommerce_sales_1000_records!$C:I,MTD!$A6)</f>
        <v>13295.39</v>
      </c>
      <c r="J6" s="32">
        <f>SUMIFS(ecommerce_sales_1000_records!$E:L,ecommerce_sales_1000_records!$G:N,MTD!J$1,ecommerce_sales_1000_records!$C:J,MTD!$A6)</f>
        <v>0</v>
      </c>
      <c r="K6" s="32">
        <f>SUMIFS(ecommerce_sales_1000_records!$E:M,ecommerce_sales_1000_records!$G:O,MTD!K$1,ecommerce_sales_1000_records!$C:K,MTD!$A6)</f>
        <v>0</v>
      </c>
      <c r="L6" s="32">
        <f>SUMIFS(ecommerce_sales_1000_records!$E:N,ecommerce_sales_1000_records!$G:P,MTD!L$1,ecommerce_sales_1000_records!$C:L,MTD!$A6)</f>
        <v>0</v>
      </c>
      <c r="M6" s="32">
        <f>SUMIFS(ecommerce_sales_1000_records!$E:O,ecommerce_sales_1000_records!$G:Q,MTD!M$1,ecommerce_sales_1000_records!$C:M,MTD!$A6)</f>
        <v>7367.59</v>
      </c>
      <c r="N6" s="32">
        <f>SUMIFS(ecommerce_sales_1000_records!$E:P,ecommerce_sales_1000_records!$G:R,MTD!N$1,ecommerce_sales_1000_records!$C:N,MTD!$A6)</f>
        <v>3771.32</v>
      </c>
      <c r="O6" s="32">
        <f>SUMIFS(ecommerce_sales_1000_records!$E:Q,ecommerce_sales_1000_records!$G:S,MTD!O$1,ecommerce_sales_1000_records!$C:O,MTD!$A6)</f>
        <v>0</v>
      </c>
      <c r="P6" s="32">
        <f>SUMIFS(ecommerce_sales_1000_records!$E:R,ecommerce_sales_1000_records!$G:T,MTD!P$1,ecommerce_sales_1000_records!$C:P,MTD!$A6)</f>
        <v>19957.63</v>
      </c>
      <c r="Q6" s="32">
        <f>SUMIFS(ecommerce_sales_1000_records!$E:S,ecommerce_sales_1000_records!$G:U,MTD!Q$1,ecommerce_sales_1000_records!$C:Q,MTD!$A6)</f>
        <v>7486.65</v>
      </c>
      <c r="R6" s="32">
        <f>SUMIFS(ecommerce_sales_1000_records!$E:T,ecommerce_sales_1000_records!$G:V,MTD!R$1,ecommerce_sales_1000_records!$C:R,MTD!$A6)</f>
        <v>14318.420000000002</v>
      </c>
      <c r="S6" s="32">
        <f>SUMIFS(ecommerce_sales_1000_records!$E:U,ecommerce_sales_1000_records!$G:W,MTD!S$1,ecommerce_sales_1000_records!$C:S,MTD!$A6)</f>
        <v>0</v>
      </c>
      <c r="T6" s="32">
        <f>SUMIFS(ecommerce_sales_1000_records!$E:V,ecommerce_sales_1000_records!$G:X,MTD!T$1,ecommerce_sales_1000_records!$C:T,MTD!$A6)</f>
        <v>0</v>
      </c>
      <c r="U6" s="32">
        <f>SUMIFS(ecommerce_sales_1000_records!$E:W,ecommerce_sales_1000_records!$G:Y,MTD!U$1,ecommerce_sales_1000_records!$C:U,MTD!$A6)</f>
        <v>10601.16</v>
      </c>
      <c r="V6" s="32">
        <f>SUMIFS(ecommerce_sales_1000_records!$E:X,ecommerce_sales_1000_records!$G:Z,MTD!V$1,ecommerce_sales_1000_records!$C:V,MTD!$A6)</f>
        <v>8224.7900000000009</v>
      </c>
      <c r="W6" s="32">
        <f>SUMIFS(ecommerce_sales_1000_records!$E:Y,ecommerce_sales_1000_records!$G:AA,MTD!W$1,ecommerce_sales_1000_records!$C:W,MTD!$A6)</f>
        <v>12743.970000000001</v>
      </c>
      <c r="X6" s="32">
        <f>SUMIFS(ecommerce_sales_1000_records!$E:Z,ecommerce_sales_1000_records!$G:AB,MTD!X$1,ecommerce_sales_1000_records!$C:X,MTD!$A6)</f>
        <v>0</v>
      </c>
      <c r="Y6" s="32">
        <f>SUMIFS(ecommerce_sales_1000_records!$E:AA,ecommerce_sales_1000_records!$G:AC,MTD!Y$1,ecommerce_sales_1000_records!$C:Y,MTD!$A6)</f>
        <v>9977.99</v>
      </c>
      <c r="Z6" s="32">
        <f>SUMIFS(ecommerce_sales_1000_records!$E:AB,ecommerce_sales_1000_records!$G:AD,MTD!Z$1,ecommerce_sales_1000_records!$C:Z,MTD!$A6)</f>
        <v>3463.72</v>
      </c>
      <c r="AA6" s="32">
        <f>SUMIFS(ecommerce_sales_1000_records!$E:AC,ecommerce_sales_1000_records!$G:AE,MTD!AA$1,ecommerce_sales_1000_records!$C:AA,MTD!$A6)</f>
        <v>6524.83</v>
      </c>
      <c r="AB6" s="32">
        <f>SUMIFS(ecommerce_sales_1000_records!$E:AD,ecommerce_sales_1000_records!$G:AF,MTD!AB$1,ecommerce_sales_1000_records!$C:AB,MTD!$A6)</f>
        <v>0</v>
      </c>
      <c r="AC6" s="32">
        <f>SUMIFS(ecommerce_sales_1000_records!$E:AE,ecommerce_sales_1000_records!$G:AG,MTD!AC$1,ecommerce_sales_1000_records!$C:AC,MTD!$A6)</f>
        <v>3989.88</v>
      </c>
      <c r="AD6" s="32">
        <f>SUMIFS(ecommerce_sales_1000_records!$E:AF,ecommerce_sales_1000_records!$G:AH,MTD!AD$1,ecommerce_sales_1000_records!$C:AD,MTD!$A6)</f>
        <v>13528.43</v>
      </c>
      <c r="AE6" s="32">
        <f>SUMIFS(ecommerce_sales_1000_records!$E:AG,ecommerce_sales_1000_records!$G:AI,MTD!AE$1,ecommerce_sales_1000_records!$C:AE,MTD!$A6)</f>
        <v>0</v>
      </c>
      <c r="AF6" s="32">
        <f>SUMIFS(ecommerce_sales_1000_records!$E:AH,ecommerce_sales_1000_records!$G:AJ,MTD!AF$1,ecommerce_sales_1000_records!$C:AF,MTD!$A6)</f>
        <v>4617.17</v>
      </c>
      <c r="AG6" s="32">
        <f>SUMIFS(ecommerce_sales_1000_records!$E:AI,ecommerce_sales_1000_records!$G:AK,MTD!AG$1,ecommerce_sales_1000_records!$C:AG,MTD!$A6)</f>
        <v>3420.89</v>
      </c>
    </row>
    <row r="7" spans="1:34" ht="15" customHeight="1" x14ac:dyDescent="0.3">
      <c r="A7" s="14" t="s">
        <v>1038</v>
      </c>
      <c r="B7" s="19">
        <f>SUM(B2:B6)</f>
        <v>1811770.08</v>
      </c>
      <c r="C7" s="31">
        <f t="shared" ref="C7:AG7" si="1">SUM(C2:C6)</f>
        <v>50325.97</v>
      </c>
      <c r="D7" s="31">
        <f t="shared" si="1"/>
        <v>96258.73000000001</v>
      </c>
      <c r="E7" s="31">
        <f t="shared" si="1"/>
        <v>28283.32</v>
      </c>
      <c r="F7" s="31">
        <f t="shared" si="1"/>
        <v>87576.59</v>
      </c>
      <c r="G7" s="31">
        <f t="shared" si="1"/>
        <v>63006.189999999995</v>
      </c>
      <c r="H7" s="31">
        <f t="shared" si="1"/>
        <v>117174.2</v>
      </c>
      <c r="I7" s="31">
        <f t="shared" si="1"/>
        <v>14143.38</v>
      </c>
      <c r="J7" s="31">
        <f t="shared" si="1"/>
        <v>32966.080000000002</v>
      </c>
      <c r="K7" s="31">
        <f t="shared" si="1"/>
        <v>85773.419999999984</v>
      </c>
      <c r="L7" s="31">
        <f t="shared" si="1"/>
        <v>31797.26</v>
      </c>
      <c r="M7" s="31">
        <f t="shared" si="1"/>
        <v>83925.030000000013</v>
      </c>
      <c r="N7" s="31">
        <f t="shared" si="1"/>
        <v>60254.780000000006</v>
      </c>
      <c r="O7" s="31">
        <f t="shared" si="1"/>
        <v>18368.16</v>
      </c>
      <c r="P7" s="31">
        <f t="shared" si="1"/>
        <v>70318.38</v>
      </c>
      <c r="Q7" s="31">
        <f t="shared" si="1"/>
        <v>38701.67</v>
      </c>
      <c r="R7" s="31">
        <f t="shared" si="1"/>
        <v>17026.730000000003</v>
      </c>
      <c r="S7" s="31">
        <f t="shared" si="1"/>
        <v>3155.4799999999996</v>
      </c>
      <c r="T7" s="31">
        <f t="shared" si="1"/>
        <v>120507.24999999999</v>
      </c>
      <c r="U7" s="31">
        <f t="shared" si="1"/>
        <v>159754.31000000003</v>
      </c>
      <c r="V7" s="31">
        <f t="shared" si="1"/>
        <v>119547.56</v>
      </c>
      <c r="W7" s="31">
        <f t="shared" si="1"/>
        <v>19262.370000000003</v>
      </c>
      <c r="X7" s="31">
        <f t="shared" si="1"/>
        <v>81057.040000000008</v>
      </c>
      <c r="Y7" s="31">
        <f t="shared" si="1"/>
        <v>12413.58</v>
      </c>
      <c r="Z7" s="31">
        <f t="shared" si="1"/>
        <v>15554.699999999999</v>
      </c>
      <c r="AA7" s="31">
        <f t="shared" si="1"/>
        <v>26078.690000000002</v>
      </c>
      <c r="AB7" s="31">
        <f t="shared" si="1"/>
        <v>7949.5599999999995</v>
      </c>
      <c r="AC7" s="31">
        <f t="shared" si="1"/>
        <v>123699.36000000002</v>
      </c>
      <c r="AD7" s="31">
        <f t="shared" si="1"/>
        <v>88506.209999999992</v>
      </c>
      <c r="AE7" s="31">
        <f t="shared" si="1"/>
        <v>56404.729999999996</v>
      </c>
      <c r="AF7" s="31">
        <f t="shared" si="1"/>
        <v>56804.719999999994</v>
      </c>
      <c r="AG7" s="31">
        <f t="shared" si="1"/>
        <v>25174.63</v>
      </c>
    </row>
    <row r="9" spans="1:34" ht="15" customHeight="1" x14ac:dyDescent="0.3">
      <c r="A9" s="14" t="s">
        <v>6</v>
      </c>
      <c r="B9" s="27">
        <v>46054</v>
      </c>
      <c r="C9" s="28">
        <v>46054</v>
      </c>
      <c r="D9" s="28">
        <f>C9+1</f>
        <v>46055</v>
      </c>
      <c r="E9" s="28">
        <f>D9+1</f>
        <v>46056</v>
      </c>
      <c r="F9" s="28">
        <f>E9+1</f>
        <v>46057</v>
      </c>
      <c r="G9" s="28">
        <f>F9+1</f>
        <v>46058</v>
      </c>
      <c r="H9" s="28">
        <f>G9+1</f>
        <v>46059</v>
      </c>
      <c r="I9" s="28">
        <f>H9+1</f>
        <v>46060</v>
      </c>
      <c r="J9" s="28">
        <f>I9+1</f>
        <v>46061</v>
      </c>
      <c r="K9" s="28">
        <f>J9+1</f>
        <v>46062</v>
      </c>
      <c r="L9" s="28">
        <f>K9+1</f>
        <v>46063</v>
      </c>
      <c r="M9" s="28">
        <f>L9+1</f>
        <v>46064</v>
      </c>
      <c r="N9" s="28">
        <f>M9+1</f>
        <v>46065</v>
      </c>
      <c r="O9" s="28">
        <f>N9+1</f>
        <v>46066</v>
      </c>
      <c r="P9" s="28">
        <f>O9+1</f>
        <v>46067</v>
      </c>
      <c r="Q9" s="28">
        <f>P9+1</f>
        <v>46068</v>
      </c>
      <c r="R9" s="28">
        <f>Q9+1</f>
        <v>46069</v>
      </c>
      <c r="S9" s="28">
        <f>R9+1</f>
        <v>46070</v>
      </c>
      <c r="T9" s="28">
        <f>S9+1</f>
        <v>46071</v>
      </c>
      <c r="U9" s="28">
        <f>T9+1</f>
        <v>46072</v>
      </c>
      <c r="V9" s="28">
        <f>U9+1</f>
        <v>46073</v>
      </c>
      <c r="W9" s="28">
        <f>V9+1</f>
        <v>46074</v>
      </c>
      <c r="X9" s="28">
        <f>W9+1</f>
        <v>46075</v>
      </c>
      <c r="Y9" s="28">
        <f>X9+1</f>
        <v>46076</v>
      </c>
      <c r="Z9" s="28">
        <f>Y9+1</f>
        <v>46077</v>
      </c>
      <c r="AA9" s="28">
        <f>Z9+1</f>
        <v>46078</v>
      </c>
      <c r="AB9" s="28">
        <f>AA9+1</f>
        <v>46079</v>
      </c>
      <c r="AC9" s="28">
        <f>AB9+1</f>
        <v>46080</v>
      </c>
      <c r="AD9" s="28">
        <f>AC9+1</f>
        <v>46081</v>
      </c>
      <c r="AE9" s="33"/>
      <c r="AF9" s="33"/>
      <c r="AG9" s="33"/>
    </row>
    <row r="10" spans="1:34" ht="15" customHeight="1" x14ac:dyDescent="0.25">
      <c r="A10" s="30" t="s">
        <v>9</v>
      </c>
      <c r="B10" s="31">
        <f>SUM(C10:AG10)</f>
        <v>99356.479999999996</v>
      </c>
      <c r="C10" s="32">
        <f>SUMIFS(ecommerce_sales_1000_records!$E:E,ecommerce_sales_1000_records!$G:G,C$9,ecommerce_sales_1000_records!$C:C,MTD!$A10)</f>
        <v>5409.63</v>
      </c>
      <c r="D10" s="32">
        <f>SUMIFS(ecommerce_sales_1000_records!$E:F,ecommerce_sales_1000_records!$G:H,D$9,ecommerce_sales_1000_records!$C:D,MTD!$A10)</f>
        <v>12353.54</v>
      </c>
      <c r="E10" s="32">
        <f>SUMIFS(ecommerce_sales_1000_records!$E:G,ecommerce_sales_1000_records!$G:I,E$9,ecommerce_sales_1000_records!$C:E,MTD!$A10)</f>
        <v>1935.5</v>
      </c>
      <c r="F10" s="32">
        <f>SUMIFS(ecommerce_sales_1000_records!$E:H,ecommerce_sales_1000_records!$G:J,F$9,ecommerce_sales_1000_records!$C:F,MTD!$A10)</f>
        <v>5469.4</v>
      </c>
      <c r="G10" s="32">
        <f>SUMIFS(ecommerce_sales_1000_records!$E:I,ecommerce_sales_1000_records!$G:K,G$9,ecommerce_sales_1000_records!$C:G,MTD!$A10)</f>
        <v>1649.51</v>
      </c>
      <c r="H10" s="32">
        <f>SUMIFS(ecommerce_sales_1000_records!$E:J,ecommerce_sales_1000_records!$G:L,H$9,ecommerce_sales_1000_records!$C:H,MTD!$A10)</f>
        <v>0</v>
      </c>
      <c r="I10" s="32">
        <f>SUMIFS(ecommerce_sales_1000_records!$E:K,ecommerce_sales_1000_records!$G:M,I$9,ecommerce_sales_1000_records!$C:I,MTD!$A10)</f>
        <v>1898.86</v>
      </c>
      <c r="J10" s="32">
        <f>SUMIFS(ecommerce_sales_1000_records!$E:L,ecommerce_sales_1000_records!$G:N,J$9,ecommerce_sales_1000_records!$C:J,MTD!$A10)</f>
        <v>4980.93</v>
      </c>
      <c r="K10" s="32">
        <f>SUMIFS(ecommerce_sales_1000_records!$E:M,ecommerce_sales_1000_records!$G:O,K$9,ecommerce_sales_1000_records!$C:K,MTD!$A10)</f>
        <v>12042.54</v>
      </c>
      <c r="L10" s="32">
        <f>SUMIFS(ecommerce_sales_1000_records!$E:N,ecommerce_sales_1000_records!$G:P,L$9,ecommerce_sales_1000_records!$C:L,MTD!$A10)</f>
        <v>1660.7</v>
      </c>
      <c r="M10" s="32">
        <f>SUMIFS(ecommerce_sales_1000_records!$E:O,ecommerce_sales_1000_records!$G:Q,M$9,ecommerce_sales_1000_records!$C:M,MTD!$A10)</f>
        <v>6632.38</v>
      </c>
      <c r="N10" s="32">
        <f>SUMIFS(ecommerce_sales_1000_records!$E:P,ecommerce_sales_1000_records!$G:R,N$9,ecommerce_sales_1000_records!$C:N,MTD!$A10)</f>
        <v>0</v>
      </c>
      <c r="O10" s="32">
        <f>SUMIFS(ecommerce_sales_1000_records!$E:Q,ecommerce_sales_1000_records!$G:S,O$9,ecommerce_sales_1000_records!$C:O,MTD!$A10)</f>
        <v>0</v>
      </c>
      <c r="P10" s="32">
        <f>SUMIFS(ecommerce_sales_1000_records!$E:R,ecommerce_sales_1000_records!$G:T,P$9,ecommerce_sales_1000_records!$C:P,MTD!$A10)</f>
        <v>0</v>
      </c>
      <c r="Q10" s="32">
        <f>SUMIFS(ecommerce_sales_1000_records!$E:S,ecommerce_sales_1000_records!$G:U,Q$9,ecommerce_sales_1000_records!$C:Q,MTD!$A10)</f>
        <v>4981.9399999999996</v>
      </c>
      <c r="R10" s="32">
        <f>SUMIFS(ecommerce_sales_1000_records!$E:T,ecommerce_sales_1000_records!$G:V,R$9,ecommerce_sales_1000_records!$C:R,MTD!$A10)</f>
        <v>0</v>
      </c>
      <c r="S10" s="32">
        <f>SUMIFS(ecommerce_sales_1000_records!$E:U,ecommerce_sales_1000_records!$G:W,S$9,ecommerce_sales_1000_records!$C:S,MTD!$A10)</f>
        <v>4648.29</v>
      </c>
      <c r="T10" s="32">
        <f>SUMIFS(ecommerce_sales_1000_records!$E:V,ecommerce_sales_1000_records!$G:X,T$9,ecommerce_sales_1000_records!$C:T,MTD!$A10)</f>
        <v>1641.8</v>
      </c>
      <c r="U10" s="32">
        <f>SUMIFS(ecommerce_sales_1000_records!$E:W,ecommerce_sales_1000_records!$G:Y,U$9,ecommerce_sales_1000_records!$C:U,MTD!$A10)</f>
        <v>0</v>
      </c>
      <c r="V10" s="32">
        <f>SUMIFS(ecommerce_sales_1000_records!$E:X,ecommerce_sales_1000_records!$G:Z,V$9,ecommerce_sales_1000_records!$C:V,MTD!$A10)</f>
        <v>0</v>
      </c>
      <c r="W10" s="32">
        <f>SUMIFS(ecommerce_sales_1000_records!$E:Y,ecommerce_sales_1000_records!$G:AA,W$9,ecommerce_sales_1000_records!$C:W,MTD!$A10)</f>
        <v>0</v>
      </c>
      <c r="X10" s="32">
        <f>SUMIFS(ecommerce_sales_1000_records!$E:Z,ecommerce_sales_1000_records!$G:AB,X$9,ecommerce_sales_1000_records!$C:X,MTD!$A10)</f>
        <v>14171.33</v>
      </c>
      <c r="Y10" s="32">
        <f>SUMIFS(ecommerce_sales_1000_records!$E:AA,ecommerce_sales_1000_records!$G:AC,Y$9,ecommerce_sales_1000_records!$C:Y,MTD!$A10)</f>
        <v>5032.18</v>
      </c>
      <c r="Z10" s="32">
        <f>SUMIFS(ecommerce_sales_1000_records!$E:AB,ecommerce_sales_1000_records!$G:AD,Z$9,ecommerce_sales_1000_records!$C:Z,MTD!$A10)</f>
        <v>1873.33</v>
      </c>
      <c r="AA10" s="32">
        <f>SUMIFS(ecommerce_sales_1000_records!$E:AC,ecommerce_sales_1000_records!$G:AE,AA$9,ecommerce_sales_1000_records!$C:AA,MTD!$A10)</f>
        <v>0</v>
      </c>
      <c r="AB10" s="32">
        <f>SUMIFS(ecommerce_sales_1000_records!$E:AD,ecommerce_sales_1000_records!$G:AF,AB$9,ecommerce_sales_1000_records!$C:AB,MTD!$A10)</f>
        <v>9145.4599999999991</v>
      </c>
      <c r="AC10" s="32">
        <f>SUMIFS(ecommerce_sales_1000_records!$E:AE,ecommerce_sales_1000_records!$G:AG,AC$9,ecommerce_sales_1000_records!$C:AC,MTD!$A10)</f>
        <v>1905.73</v>
      </c>
      <c r="AD10" s="32">
        <f>SUMIFS(ecommerce_sales_1000_records!$E:AF,ecommerce_sales_1000_records!$G:AH,AD$9,ecommerce_sales_1000_records!$C:AD,MTD!$A10)</f>
        <v>1923.43</v>
      </c>
      <c r="AE10" s="32"/>
      <c r="AF10" s="32"/>
      <c r="AG10" s="32"/>
    </row>
    <row r="11" spans="1:34" ht="15" customHeight="1" x14ac:dyDescent="0.25">
      <c r="A11" s="30" t="s">
        <v>13</v>
      </c>
      <c r="B11" s="31">
        <f t="shared" ref="B11:B14" si="2">SUM(C11:AG11)</f>
        <v>1044268.08</v>
      </c>
      <c r="C11" s="32">
        <f>SUMIFS(ecommerce_sales_1000_records!$E:E,ecommerce_sales_1000_records!$G:G,C$9,ecommerce_sales_1000_records!$C:C,MTD!$A11)</f>
        <v>44869.68</v>
      </c>
      <c r="D11" s="32">
        <f>SUMIFS(ecommerce_sales_1000_records!$E:F,ecommerce_sales_1000_records!$G:H,D$9,ecommerce_sales_1000_records!$C:D,MTD!$A11)</f>
        <v>51675.25</v>
      </c>
      <c r="E11" s="32">
        <f>SUMIFS(ecommerce_sales_1000_records!$E:G,ecommerce_sales_1000_records!$G:I,E$9,ecommerce_sales_1000_records!$C:E,MTD!$A11)</f>
        <v>88395.010000000009</v>
      </c>
      <c r="F11" s="32">
        <f>SUMIFS(ecommerce_sales_1000_records!$E:H,ecommerce_sales_1000_records!$G:J,F$9,ecommerce_sales_1000_records!$C:F,MTD!$A11)</f>
        <v>86719.67</v>
      </c>
      <c r="G11" s="32">
        <f>SUMIFS(ecommerce_sales_1000_records!$E:I,ecommerce_sales_1000_records!$G:K,G$9,ecommerce_sales_1000_records!$C:G,MTD!$A11)</f>
        <v>55306.63</v>
      </c>
      <c r="H11" s="32">
        <f>SUMIFS(ecommerce_sales_1000_records!$E:J,ecommerce_sales_1000_records!$G:L,H$9,ecommerce_sales_1000_records!$C:H,MTD!$A11)</f>
        <v>80869.429999999993</v>
      </c>
      <c r="I11" s="32">
        <f>SUMIFS(ecommerce_sales_1000_records!$E:K,ecommerce_sales_1000_records!$G:M,I$9,ecommerce_sales_1000_records!$C:I,MTD!$A11)</f>
        <v>30081.01</v>
      </c>
      <c r="J11" s="32">
        <f>SUMIFS(ecommerce_sales_1000_records!$E:L,ecommerce_sales_1000_records!$G:N,J$9,ecommerce_sales_1000_records!$C:J,MTD!$A11)</f>
        <v>50098.03</v>
      </c>
      <c r="K11" s="32">
        <f>SUMIFS(ecommerce_sales_1000_records!$E:M,ecommerce_sales_1000_records!$G:O,K$9,ecommerce_sales_1000_records!$C:K,MTD!$A11)</f>
        <v>21260.61</v>
      </c>
      <c r="L11" s="32">
        <f>SUMIFS(ecommerce_sales_1000_records!$E:N,ecommerce_sales_1000_records!$G:P,L$9,ecommerce_sales_1000_records!$C:L,MTD!$A11)</f>
        <v>84884.7</v>
      </c>
      <c r="M11" s="32">
        <f>SUMIFS(ecommerce_sales_1000_records!$E:O,ecommerce_sales_1000_records!$G:Q,M$9,ecommerce_sales_1000_records!$C:M,MTD!$A11)</f>
        <v>1561.03</v>
      </c>
      <c r="N11" s="32">
        <f>SUMIFS(ecommerce_sales_1000_records!$E:P,ecommerce_sales_1000_records!$G:R,N$9,ecommerce_sales_1000_records!$C:N,MTD!$A11)</f>
        <v>55880.259999999995</v>
      </c>
      <c r="O11" s="32">
        <f>SUMIFS(ecommerce_sales_1000_records!$E:Q,ecommerce_sales_1000_records!$G:S,O$9,ecommerce_sales_1000_records!$C:O,MTD!$A11)</f>
        <v>1506.33</v>
      </c>
      <c r="P11" s="32">
        <f>SUMIFS(ecommerce_sales_1000_records!$E:R,ecommerce_sales_1000_records!$G:T,P$9,ecommerce_sales_1000_records!$C:P,MTD!$A11)</f>
        <v>2366.91</v>
      </c>
      <c r="Q11" s="32">
        <f>SUMIFS(ecommerce_sales_1000_records!$E:S,ecommerce_sales_1000_records!$G:U,Q$9,ecommerce_sales_1000_records!$C:Q,MTD!$A11)</f>
        <v>1530.72</v>
      </c>
      <c r="R11" s="32">
        <f>SUMIFS(ecommerce_sales_1000_records!$E:T,ecommerce_sales_1000_records!$G:V,R$9,ecommerce_sales_1000_records!$C:R,MTD!$A11)</f>
        <v>46180.33</v>
      </c>
      <c r="S11" s="32">
        <f>SUMIFS(ecommerce_sales_1000_records!$E:U,ecommerce_sales_1000_records!$G:W,S$9,ecommerce_sales_1000_records!$C:S,MTD!$A11)</f>
        <v>2369.62</v>
      </c>
      <c r="T11" s="32">
        <f>SUMIFS(ecommerce_sales_1000_records!$E:V,ecommerce_sales_1000_records!$G:X,T$9,ecommerce_sales_1000_records!$C:T,MTD!$A11)</f>
        <v>2969.23</v>
      </c>
      <c r="U11" s="32">
        <f>SUMIFS(ecommerce_sales_1000_records!$E:W,ecommerce_sales_1000_records!$G:Y,U$9,ecommerce_sales_1000_records!$C:U,MTD!$A11)</f>
        <v>18087.79</v>
      </c>
      <c r="V11" s="32">
        <f>SUMIFS(ecommerce_sales_1000_records!$E:X,ecommerce_sales_1000_records!$G:Z,V$9,ecommerce_sales_1000_records!$C:V,MTD!$A11)</f>
        <v>1530.61</v>
      </c>
      <c r="W11" s="32">
        <f>SUMIFS(ecommerce_sales_1000_records!$E:Y,ecommerce_sales_1000_records!$G:AA,W$9,ecommerce_sales_1000_records!$C:W,MTD!$A11)</f>
        <v>17844.29</v>
      </c>
      <c r="X11" s="32">
        <f>SUMIFS(ecommerce_sales_1000_records!$E:Z,ecommerce_sales_1000_records!$G:AB,X$9,ecommerce_sales_1000_records!$C:X,MTD!$A11)</f>
        <v>0</v>
      </c>
      <c r="Y11" s="32">
        <f>SUMIFS(ecommerce_sales_1000_records!$E:AA,ecommerce_sales_1000_records!$G:AC,Y$9,ecommerce_sales_1000_records!$C:Y,MTD!$A11)</f>
        <v>2214.61</v>
      </c>
      <c r="Z11" s="32">
        <f>SUMIFS(ecommerce_sales_1000_records!$E:AB,ecommerce_sales_1000_records!$G:AD,Z$9,ecommerce_sales_1000_records!$C:Z,MTD!$A11)</f>
        <v>87575.25</v>
      </c>
      <c r="AA11" s="32">
        <f>SUMIFS(ecommerce_sales_1000_records!$E:AC,ecommerce_sales_1000_records!$G:AE,AA$9,ecommerce_sales_1000_records!$C:AA,MTD!$A11)</f>
        <v>50242.86</v>
      </c>
      <c r="AB11" s="32">
        <f>SUMIFS(ecommerce_sales_1000_records!$E:AD,ecommerce_sales_1000_records!$G:AF,AB$9,ecommerce_sales_1000_records!$C:AB,MTD!$A11)</f>
        <v>29769.68</v>
      </c>
      <c r="AC11" s="32">
        <f>SUMIFS(ecommerce_sales_1000_records!$E:AE,ecommerce_sales_1000_records!$G:AG,AC$9,ecommerce_sales_1000_records!$C:AC,MTD!$A11)</f>
        <v>80205.679999999993</v>
      </c>
      <c r="AD11" s="32">
        <f>SUMIFS(ecommerce_sales_1000_records!$E:AF,ecommerce_sales_1000_records!$G:AH,AD$9,ecommerce_sales_1000_records!$C:AD,MTD!$A11)</f>
        <v>48272.86</v>
      </c>
      <c r="AE11" s="32"/>
      <c r="AF11" s="32"/>
      <c r="AG11" s="32"/>
    </row>
    <row r="12" spans="1:34" ht="15" customHeight="1" x14ac:dyDescent="0.25">
      <c r="A12" s="30" t="s">
        <v>17</v>
      </c>
      <c r="B12" s="31">
        <f t="shared" si="2"/>
        <v>4974.32</v>
      </c>
      <c r="C12" s="32">
        <f>SUMIFS(ecommerce_sales_1000_records!$E:E,ecommerce_sales_1000_records!$G:G,C$9,ecommerce_sales_1000_records!$C:C,MTD!$A12)</f>
        <v>487.91</v>
      </c>
      <c r="D12" s="32">
        <f>SUMIFS(ecommerce_sales_1000_records!$E:F,ecommerce_sales_1000_records!$G:H,D$9,ecommerce_sales_1000_records!$C:D,MTD!$A12)</f>
        <v>0</v>
      </c>
      <c r="E12" s="32">
        <f>SUMIFS(ecommerce_sales_1000_records!$E:G,ecommerce_sales_1000_records!$G:I,E$9,ecommerce_sales_1000_records!$C:E,MTD!$A12)</f>
        <v>0</v>
      </c>
      <c r="F12" s="32">
        <f>SUMIFS(ecommerce_sales_1000_records!$E:H,ecommerce_sales_1000_records!$G:J,F$9,ecommerce_sales_1000_records!$C:F,MTD!$A12)</f>
        <v>412.56</v>
      </c>
      <c r="G12" s="32">
        <f>SUMIFS(ecommerce_sales_1000_records!$E:I,ecommerce_sales_1000_records!$G:K,G$9,ecommerce_sales_1000_records!$C:G,MTD!$A12)</f>
        <v>0</v>
      </c>
      <c r="H12" s="32">
        <f>SUMIFS(ecommerce_sales_1000_records!$E:J,ecommerce_sales_1000_records!$G:L,H$9,ecommerce_sales_1000_records!$C:H,MTD!$A12)</f>
        <v>0</v>
      </c>
      <c r="I12" s="32">
        <f>SUMIFS(ecommerce_sales_1000_records!$E:K,ecommerce_sales_1000_records!$G:M,I$9,ecommerce_sales_1000_records!$C:I,MTD!$A12)</f>
        <v>477.04</v>
      </c>
      <c r="J12" s="32">
        <f>SUMIFS(ecommerce_sales_1000_records!$E:L,ecommerce_sales_1000_records!$G:N,J$9,ecommerce_sales_1000_records!$C:J,MTD!$A12)</f>
        <v>0</v>
      </c>
      <c r="K12" s="32">
        <f>SUMIFS(ecommerce_sales_1000_records!$E:M,ecommerce_sales_1000_records!$G:O,K$9,ecommerce_sales_1000_records!$C:K,MTD!$A12)</f>
        <v>0</v>
      </c>
      <c r="L12" s="32">
        <f>SUMIFS(ecommerce_sales_1000_records!$E:N,ecommerce_sales_1000_records!$G:P,L$9,ecommerce_sales_1000_records!$C:L,MTD!$A12)</f>
        <v>484.5</v>
      </c>
      <c r="M12" s="32">
        <f>SUMIFS(ecommerce_sales_1000_records!$E:O,ecommerce_sales_1000_records!$G:Q,M$9,ecommerce_sales_1000_records!$C:M,MTD!$A12)</f>
        <v>491.74</v>
      </c>
      <c r="N12" s="32">
        <f>SUMIFS(ecommerce_sales_1000_records!$E:P,ecommerce_sales_1000_records!$G:R,N$9,ecommerce_sales_1000_records!$C:N,MTD!$A12)</f>
        <v>0</v>
      </c>
      <c r="O12" s="32">
        <f>SUMIFS(ecommerce_sales_1000_records!$E:Q,ecommerce_sales_1000_records!$G:S,O$9,ecommerce_sales_1000_records!$C:O,MTD!$A12)</f>
        <v>0</v>
      </c>
      <c r="P12" s="32">
        <f>SUMIFS(ecommerce_sales_1000_records!$E:R,ecommerce_sales_1000_records!$G:T,P$9,ecommerce_sales_1000_records!$C:P,MTD!$A12)</f>
        <v>878.25</v>
      </c>
      <c r="Q12" s="32">
        <f>SUMIFS(ecommerce_sales_1000_records!$E:S,ecommerce_sales_1000_records!$G:U,Q$9,ecommerce_sales_1000_records!$C:Q,MTD!$A12)</f>
        <v>0</v>
      </c>
      <c r="R12" s="32">
        <f>SUMIFS(ecommerce_sales_1000_records!$E:T,ecommerce_sales_1000_records!$G:V,R$9,ecommerce_sales_1000_records!$C:R,MTD!$A12)</f>
        <v>433.94</v>
      </c>
      <c r="S12" s="32">
        <f>SUMIFS(ecommerce_sales_1000_records!$E:U,ecommerce_sales_1000_records!$G:W,S$9,ecommerce_sales_1000_records!$C:S,MTD!$A12)</f>
        <v>0</v>
      </c>
      <c r="T12" s="32">
        <f>SUMIFS(ecommerce_sales_1000_records!$E:V,ecommerce_sales_1000_records!$G:X,T$9,ecommerce_sales_1000_records!$C:T,MTD!$A12)</f>
        <v>415.41</v>
      </c>
      <c r="U12" s="32">
        <f>SUMIFS(ecommerce_sales_1000_records!$E:W,ecommerce_sales_1000_records!$G:Y,U$9,ecommerce_sales_1000_records!$C:U,MTD!$A12)</f>
        <v>0</v>
      </c>
      <c r="V12" s="32">
        <f>SUMIFS(ecommerce_sales_1000_records!$E:X,ecommerce_sales_1000_records!$G:Z,V$9,ecommerce_sales_1000_records!$C:V,MTD!$A12)</f>
        <v>0</v>
      </c>
      <c r="W12" s="32">
        <f>SUMIFS(ecommerce_sales_1000_records!$E:Y,ecommerce_sales_1000_records!$G:AA,W$9,ecommerce_sales_1000_records!$C:W,MTD!$A12)</f>
        <v>0</v>
      </c>
      <c r="X12" s="32">
        <f>SUMIFS(ecommerce_sales_1000_records!$E:Z,ecommerce_sales_1000_records!$G:AB,X$9,ecommerce_sales_1000_records!$C:X,MTD!$A12)</f>
        <v>485.11</v>
      </c>
      <c r="Y12" s="32">
        <f>SUMIFS(ecommerce_sales_1000_records!$E:AA,ecommerce_sales_1000_records!$G:AC,Y$9,ecommerce_sales_1000_records!$C:Y,MTD!$A12)</f>
        <v>0</v>
      </c>
      <c r="Z12" s="32">
        <f>SUMIFS(ecommerce_sales_1000_records!$E:AB,ecommerce_sales_1000_records!$G:AD,Z$9,ecommerce_sales_1000_records!$C:Z,MTD!$A12)</f>
        <v>0</v>
      </c>
      <c r="AA12" s="32">
        <f>SUMIFS(ecommerce_sales_1000_records!$E:AC,ecommerce_sales_1000_records!$G:AE,AA$9,ecommerce_sales_1000_records!$C:AA,MTD!$A12)</f>
        <v>407.86</v>
      </c>
      <c r="AB12" s="32">
        <f>SUMIFS(ecommerce_sales_1000_records!$E:AD,ecommerce_sales_1000_records!$G:AF,AB$9,ecommerce_sales_1000_records!$C:AB,MTD!$A12)</f>
        <v>0</v>
      </c>
      <c r="AC12" s="32">
        <f>SUMIFS(ecommerce_sales_1000_records!$E:AE,ecommerce_sales_1000_records!$G:AG,AC$9,ecommerce_sales_1000_records!$C:AC,MTD!$A12)</f>
        <v>0</v>
      </c>
      <c r="AD12" s="32">
        <f>SUMIFS(ecommerce_sales_1000_records!$E:AF,ecommerce_sales_1000_records!$G:AH,AD$9,ecommerce_sales_1000_records!$C:AD,MTD!$A12)</f>
        <v>0</v>
      </c>
      <c r="AE12" s="32"/>
      <c r="AF12" s="32"/>
      <c r="AG12" s="32"/>
    </row>
    <row r="13" spans="1:34" ht="15" customHeight="1" x14ac:dyDescent="0.25">
      <c r="A13" s="30" t="s">
        <v>25</v>
      </c>
      <c r="B13" s="31">
        <f t="shared" si="2"/>
        <v>57796.06</v>
      </c>
      <c r="C13" s="32">
        <f>SUMIFS(ecommerce_sales_1000_records!$E:E,ecommerce_sales_1000_records!$G:G,C$9,ecommerce_sales_1000_records!$C:C,MTD!$A13)</f>
        <v>0</v>
      </c>
      <c r="D13" s="32">
        <f>SUMIFS(ecommerce_sales_1000_records!$E:F,ecommerce_sales_1000_records!$G:H,D$9,ecommerce_sales_1000_records!$C:D,MTD!$A13)</f>
        <v>7347.41</v>
      </c>
      <c r="E13" s="32">
        <f>SUMIFS(ecommerce_sales_1000_records!$E:G,ecommerce_sales_1000_records!$G:I,E$9,ecommerce_sales_1000_records!$C:E,MTD!$A13)</f>
        <v>4260.96</v>
      </c>
      <c r="F13" s="32">
        <f>SUMIFS(ecommerce_sales_1000_records!$E:H,ecommerce_sales_1000_records!$G:J,F$9,ecommerce_sales_1000_records!$C:F,MTD!$A13)</f>
        <v>2656.67</v>
      </c>
      <c r="G13" s="32">
        <f>SUMIFS(ecommerce_sales_1000_records!$E:I,ecommerce_sales_1000_records!$G:K,G$9,ecommerce_sales_1000_records!$C:G,MTD!$A13)</f>
        <v>727.74</v>
      </c>
      <c r="H13" s="32">
        <f>SUMIFS(ecommerce_sales_1000_records!$E:J,ecommerce_sales_1000_records!$G:L,H$9,ecommerce_sales_1000_records!$C:H,MTD!$A13)</f>
        <v>4514.24</v>
      </c>
      <c r="I13" s="32">
        <f>SUMIFS(ecommerce_sales_1000_records!$E:K,ecommerce_sales_1000_records!$G:M,I$9,ecommerce_sales_1000_records!$C:I,MTD!$A13)</f>
        <v>1908.16</v>
      </c>
      <c r="J13" s="32">
        <f>SUMIFS(ecommerce_sales_1000_records!$E:L,ecommerce_sales_1000_records!$G:N,J$9,ecommerce_sales_1000_records!$C:J,MTD!$A13)</f>
        <v>0</v>
      </c>
      <c r="K13" s="32">
        <f>SUMIFS(ecommerce_sales_1000_records!$E:M,ecommerce_sales_1000_records!$G:O,K$9,ecommerce_sales_1000_records!$C:K,MTD!$A13)</f>
        <v>2345.06</v>
      </c>
      <c r="L13" s="32">
        <f>SUMIFS(ecommerce_sales_1000_records!$E:N,ecommerce_sales_1000_records!$G:P,L$9,ecommerce_sales_1000_records!$C:L,MTD!$A13)</f>
        <v>1843.7</v>
      </c>
      <c r="M13" s="32">
        <f>SUMIFS(ecommerce_sales_1000_records!$E:O,ecommerce_sales_1000_records!$G:Q,M$9,ecommerce_sales_1000_records!$C:M,MTD!$A13)</f>
        <v>4567.6900000000005</v>
      </c>
      <c r="N13" s="32">
        <f>SUMIFS(ecommerce_sales_1000_records!$E:P,ecommerce_sales_1000_records!$G:R,N$9,ecommerce_sales_1000_records!$C:N,MTD!$A13)</f>
        <v>4561.91</v>
      </c>
      <c r="O13" s="32">
        <f>SUMIFS(ecommerce_sales_1000_records!$E:Q,ecommerce_sales_1000_records!$G:S,O$9,ecommerce_sales_1000_records!$C:O,MTD!$A13)</f>
        <v>0</v>
      </c>
      <c r="P13" s="32">
        <f>SUMIFS(ecommerce_sales_1000_records!$E:R,ecommerce_sales_1000_records!$G:T,P$9,ecommerce_sales_1000_records!$C:P,MTD!$A13)</f>
        <v>2492.4899999999998</v>
      </c>
      <c r="Q13" s="32">
        <f>SUMIFS(ecommerce_sales_1000_records!$E:S,ecommerce_sales_1000_records!$G:U,Q$9,ecommerce_sales_1000_records!$C:Q,MTD!$A13)</f>
        <v>3299.37</v>
      </c>
      <c r="R13" s="32">
        <f>SUMIFS(ecommerce_sales_1000_records!$E:T,ecommerce_sales_1000_records!$G:V,R$9,ecommerce_sales_1000_records!$C:R,MTD!$A13)</f>
        <v>0</v>
      </c>
      <c r="S13" s="32">
        <f>SUMIFS(ecommerce_sales_1000_records!$E:U,ecommerce_sales_1000_records!$G:W,S$9,ecommerce_sales_1000_records!$C:S,MTD!$A13)</f>
        <v>1683.95</v>
      </c>
      <c r="T13" s="32">
        <f>SUMIFS(ecommerce_sales_1000_records!$E:V,ecommerce_sales_1000_records!$G:X,T$9,ecommerce_sales_1000_records!$C:T,MTD!$A13)</f>
        <v>1617.62</v>
      </c>
      <c r="U13" s="32">
        <f>SUMIFS(ecommerce_sales_1000_records!$E:W,ecommerce_sales_1000_records!$G:Y,U$9,ecommerce_sales_1000_records!$C:U,MTD!$A13)</f>
        <v>0</v>
      </c>
      <c r="V13" s="32">
        <f>SUMIFS(ecommerce_sales_1000_records!$E:X,ecommerce_sales_1000_records!$G:Z,V$9,ecommerce_sales_1000_records!$C:V,MTD!$A13)</f>
        <v>0</v>
      </c>
      <c r="W13" s="32">
        <f>SUMIFS(ecommerce_sales_1000_records!$E:Y,ecommerce_sales_1000_records!$G:AA,W$9,ecommerce_sales_1000_records!$C:W,MTD!$A13)</f>
        <v>0</v>
      </c>
      <c r="X13" s="32">
        <f>SUMIFS(ecommerce_sales_1000_records!$E:Z,ecommerce_sales_1000_records!$G:AB,X$9,ecommerce_sales_1000_records!$C:X,MTD!$A13)</f>
        <v>2801.8999999999996</v>
      </c>
      <c r="Y13" s="32">
        <f>SUMIFS(ecommerce_sales_1000_records!$E:AA,ecommerce_sales_1000_records!$G:AC,Y$9,ecommerce_sales_1000_records!$C:Y,MTD!$A13)</f>
        <v>0</v>
      </c>
      <c r="Z13" s="32">
        <f>SUMIFS(ecommerce_sales_1000_records!$E:AB,ecommerce_sales_1000_records!$G:AD,Z$9,ecommerce_sales_1000_records!$C:Z,MTD!$A13)</f>
        <v>3269.0099999999998</v>
      </c>
      <c r="AA13" s="32">
        <f>SUMIFS(ecommerce_sales_1000_records!$E:AC,ecommerce_sales_1000_records!$G:AE,AA$9,ecommerce_sales_1000_records!$C:AA,MTD!$A13)</f>
        <v>0</v>
      </c>
      <c r="AB13" s="32">
        <f>SUMIFS(ecommerce_sales_1000_records!$E:AD,ecommerce_sales_1000_records!$G:AF,AB$9,ecommerce_sales_1000_records!$C:AB,MTD!$A13)</f>
        <v>3889.46</v>
      </c>
      <c r="AC13" s="32">
        <f>SUMIFS(ecommerce_sales_1000_records!$E:AE,ecommerce_sales_1000_records!$G:AG,AC$9,ecommerce_sales_1000_records!$C:AC,MTD!$A13)</f>
        <v>2300.3200000000002</v>
      </c>
      <c r="AD13" s="32">
        <f>SUMIFS(ecommerce_sales_1000_records!$E:AF,ecommerce_sales_1000_records!$G:AH,AD$9,ecommerce_sales_1000_records!$C:AD,MTD!$A13)</f>
        <v>1708.4</v>
      </c>
      <c r="AE13" s="32"/>
      <c r="AF13" s="32"/>
      <c r="AG13" s="32"/>
    </row>
    <row r="14" spans="1:34" ht="15" customHeight="1" x14ac:dyDescent="0.25">
      <c r="A14" s="30" t="s">
        <v>39</v>
      </c>
      <c r="B14" s="31">
        <f t="shared" si="2"/>
        <v>126137.84</v>
      </c>
      <c r="C14" s="32">
        <f>SUMIFS(ecommerce_sales_1000_records!$E:E,ecommerce_sales_1000_records!$G:G,C$9,ecommerce_sales_1000_records!$C:C,MTD!$A14)</f>
        <v>0</v>
      </c>
      <c r="D14" s="32">
        <f>SUMIFS(ecommerce_sales_1000_records!$E:F,ecommerce_sales_1000_records!$G:H,D$9,ecommerce_sales_1000_records!$C:D,MTD!$A14)</f>
        <v>8347.31</v>
      </c>
      <c r="E14" s="32">
        <f>SUMIFS(ecommerce_sales_1000_records!$E:G,ecommerce_sales_1000_records!$G:I,E$9,ecommerce_sales_1000_records!$C:E,MTD!$A14)</f>
        <v>3682.94</v>
      </c>
      <c r="F14" s="32">
        <f>SUMIFS(ecommerce_sales_1000_records!$E:H,ecommerce_sales_1000_records!$G:J,F$9,ecommerce_sales_1000_records!$C:F,MTD!$A14)</f>
        <v>6338.34</v>
      </c>
      <c r="G14" s="32">
        <f>SUMIFS(ecommerce_sales_1000_records!$E:I,ecommerce_sales_1000_records!$G:K,G$9,ecommerce_sales_1000_records!$C:G,MTD!$A14)</f>
        <v>3905.11</v>
      </c>
      <c r="H14" s="32">
        <f>SUMIFS(ecommerce_sales_1000_records!$E:J,ecommerce_sales_1000_records!$G:L,H$9,ecommerce_sales_1000_records!$C:H,MTD!$A14)</f>
        <v>3270.54</v>
      </c>
      <c r="I14" s="32">
        <f>SUMIFS(ecommerce_sales_1000_records!$E:K,ecommerce_sales_1000_records!$G:M,I$9,ecommerce_sales_1000_records!$C:I,MTD!$A14)</f>
        <v>0</v>
      </c>
      <c r="J14" s="32">
        <f>SUMIFS(ecommerce_sales_1000_records!$E:L,ecommerce_sales_1000_records!$G:N,J$9,ecommerce_sales_1000_records!$C:J,MTD!$A14)</f>
        <v>3553.91</v>
      </c>
      <c r="K14" s="32">
        <f>SUMIFS(ecommerce_sales_1000_records!$E:M,ecommerce_sales_1000_records!$G:O,K$9,ecommerce_sales_1000_records!$C:K,MTD!$A14)</f>
        <v>3679.05</v>
      </c>
      <c r="L14" s="32">
        <f>SUMIFS(ecommerce_sales_1000_records!$E:N,ecommerce_sales_1000_records!$G:P,L$9,ecommerce_sales_1000_records!$C:L,MTD!$A14)</f>
        <v>0</v>
      </c>
      <c r="M14" s="32">
        <f>SUMIFS(ecommerce_sales_1000_records!$E:O,ecommerce_sales_1000_records!$G:Q,M$9,ecommerce_sales_1000_records!$C:M,MTD!$A14)</f>
        <v>0</v>
      </c>
      <c r="N14" s="32">
        <f>SUMIFS(ecommerce_sales_1000_records!$E:P,ecommerce_sales_1000_records!$G:R,N$9,ecommerce_sales_1000_records!$C:N,MTD!$A14)</f>
        <v>8196.33</v>
      </c>
      <c r="O14" s="32">
        <f>SUMIFS(ecommerce_sales_1000_records!$E:Q,ecommerce_sales_1000_records!$G:S,O$9,ecommerce_sales_1000_records!$C:O,MTD!$A14)</f>
        <v>0</v>
      </c>
      <c r="P14" s="32">
        <f>SUMIFS(ecommerce_sales_1000_records!$E:R,ecommerce_sales_1000_records!$G:T,P$9,ecommerce_sales_1000_records!$C:P,MTD!$A14)</f>
        <v>0</v>
      </c>
      <c r="Q14" s="32">
        <f>SUMIFS(ecommerce_sales_1000_records!$E:S,ecommerce_sales_1000_records!$G:U,Q$9,ecommerce_sales_1000_records!$C:Q,MTD!$A14)</f>
        <v>6311.25</v>
      </c>
      <c r="R14" s="32">
        <f>SUMIFS(ecommerce_sales_1000_records!$E:T,ecommerce_sales_1000_records!$G:V,R$9,ecommerce_sales_1000_records!$C:R,MTD!$A14)</f>
        <v>0</v>
      </c>
      <c r="S14" s="32">
        <f>SUMIFS(ecommerce_sales_1000_records!$E:U,ecommerce_sales_1000_records!$G:W,S$9,ecommerce_sales_1000_records!$C:S,MTD!$A14)</f>
        <v>3852.86</v>
      </c>
      <c r="T14" s="32">
        <f>SUMIFS(ecommerce_sales_1000_records!$E:V,ecommerce_sales_1000_records!$G:X,T$9,ecommerce_sales_1000_records!$C:T,MTD!$A14)</f>
        <v>9590.27</v>
      </c>
      <c r="U14" s="32">
        <f>SUMIFS(ecommerce_sales_1000_records!$E:W,ecommerce_sales_1000_records!$G:Y,U$9,ecommerce_sales_1000_records!$C:U,MTD!$A14)</f>
        <v>7810.25</v>
      </c>
      <c r="V14" s="32">
        <f>SUMIFS(ecommerce_sales_1000_records!$E:X,ecommerce_sales_1000_records!$G:Z,V$9,ecommerce_sales_1000_records!$C:V,MTD!$A14)</f>
        <v>3564.18</v>
      </c>
      <c r="W14" s="32">
        <f>SUMIFS(ecommerce_sales_1000_records!$E:Y,ecommerce_sales_1000_records!$G:AA,W$9,ecommerce_sales_1000_records!$C:W,MTD!$A14)</f>
        <v>14483.599999999999</v>
      </c>
      <c r="X14" s="32">
        <f>SUMIFS(ecommerce_sales_1000_records!$E:Z,ecommerce_sales_1000_records!$G:AB,X$9,ecommerce_sales_1000_records!$C:X,MTD!$A14)</f>
        <v>0</v>
      </c>
      <c r="Y14" s="32">
        <f>SUMIFS(ecommerce_sales_1000_records!$E:AA,ecommerce_sales_1000_records!$G:AC,Y$9,ecommerce_sales_1000_records!$C:Y,MTD!$A14)</f>
        <v>19687.28</v>
      </c>
      <c r="Z14" s="32">
        <f>SUMIFS(ecommerce_sales_1000_records!$E:AB,ecommerce_sales_1000_records!$G:AD,Z$9,ecommerce_sales_1000_records!$C:Z,MTD!$A14)</f>
        <v>0</v>
      </c>
      <c r="AA14" s="32">
        <f>SUMIFS(ecommerce_sales_1000_records!$E:AC,ecommerce_sales_1000_records!$G:AE,AA$9,ecommerce_sales_1000_records!$C:AA,MTD!$A14)</f>
        <v>0</v>
      </c>
      <c r="AB14" s="32">
        <f>SUMIFS(ecommerce_sales_1000_records!$E:AD,ecommerce_sales_1000_records!$G:AF,AB$9,ecommerce_sales_1000_records!$C:AB,MTD!$A14)</f>
        <v>6546.83</v>
      </c>
      <c r="AC14" s="32">
        <f>SUMIFS(ecommerce_sales_1000_records!$E:AE,ecommerce_sales_1000_records!$G:AG,AC$9,ecommerce_sales_1000_records!$C:AC,MTD!$A14)</f>
        <v>6304.56</v>
      </c>
      <c r="AD14" s="32">
        <f>SUMIFS(ecommerce_sales_1000_records!$E:AF,ecommerce_sales_1000_records!$G:AH,AD$9,ecommerce_sales_1000_records!$C:AD,MTD!$A14)</f>
        <v>7013.23</v>
      </c>
      <c r="AE14" s="32"/>
      <c r="AF14" s="32"/>
      <c r="AG14" s="32"/>
    </row>
    <row r="15" spans="1:34" ht="15" customHeight="1" x14ac:dyDescent="0.3">
      <c r="A15" s="14" t="s">
        <v>1038</v>
      </c>
      <c r="B15" s="19">
        <f>SUM(B10:B14)</f>
        <v>1332532.7800000003</v>
      </c>
      <c r="C15" s="31">
        <f t="shared" ref="C15" si="3">SUM(C10:C14)</f>
        <v>50767.22</v>
      </c>
      <c r="D15" s="31">
        <f t="shared" ref="D15" si="4">SUM(D10:D14)</f>
        <v>79723.509999999995</v>
      </c>
      <c r="E15" s="31">
        <f t="shared" ref="E15" si="5">SUM(E10:E14)</f>
        <v>98274.410000000018</v>
      </c>
      <c r="F15" s="31">
        <f t="shared" ref="F15" si="6">SUM(F10:F14)</f>
        <v>101596.63999999998</v>
      </c>
      <c r="G15" s="31">
        <f t="shared" ref="G15" si="7">SUM(G10:G14)</f>
        <v>61588.99</v>
      </c>
      <c r="H15" s="31">
        <f t="shared" ref="H15" si="8">SUM(H10:H14)</f>
        <v>88654.209999999992</v>
      </c>
      <c r="I15" s="31">
        <f t="shared" ref="I15" si="9">SUM(I10:I14)</f>
        <v>34365.07</v>
      </c>
      <c r="J15" s="31">
        <f t="shared" ref="J15" si="10">SUM(J10:J14)</f>
        <v>58632.869999999995</v>
      </c>
      <c r="K15" s="31">
        <f t="shared" ref="K15" si="11">SUM(K10:K14)</f>
        <v>39327.26</v>
      </c>
      <c r="L15" s="31">
        <f t="shared" ref="L15" si="12">SUM(L10:L14)</f>
        <v>88873.599999999991</v>
      </c>
      <c r="M15" s="31">
        <f t="shared" ref="M15" si="13">SUM(M10:M14)</f>
        <v>13252.84</v>
      </c>
      <c r="N15" s="31">
        <f t="shared" ref="N15" si="14">SUM(N10:N14)</f>
        <v>68638.5</v>
      </c>
      <c r="O15" s="31">
        <f t="shared" ref="O15" si="15">SUM(O10:O14)</f>
        <v>1506.33</v>
      </c>
      <c r="P15" s="31">
        <f t="shared" ref="P15" si="16">SUM(P10:P14)</f>
        <v>5737.65</v>
      </c>
      <c r="Q15" s="31">
        <f t="shared" ref="Q15" si="17">SUM(Q10:Q14)</f>
        <v>16123.279999999999</v>
      </c>
      <c r="R15" s="31">
        <f t="shared" ref="R15" si="18">SUM(R10:R14)</f>
        <v>46614.270000000004</v>
      </c>
      <c r="S15" s="31">
        <f t="shared" ref="S15" si="19">SUM(S10:S14)</f>
        <v>12554.720000000001</v>
      </c>
      <c r="T15" s="31">
        <f t="shared" ref="T15" si="20">SUM(T10:T14)</f>
        <v>16234.33</v>
      </c>
      <c r="U15" s="31">
        <f t="shared" ref="U15" si="21">SUM(U10:U14)</f>
        <v>25898.04</v>
      </c>
      <c r="V15" s="31">
        <f t="shared" ref="V15" si="22">SUM(V10:V14)</f>
        <v>5094.79</v>
      </c>
      <c r="W15" s="31">
        <f t="shared" ref="W15" si="23">SUM(W10:W14)</f>
        <v>32327.89</v>
      </c>
      <c r="X15" s="31">
        <f t="shared" ref="X15" si="24">SUM(X10:X14)</f>
        <v>17458.34</v>
      </c>
      <c r="Y15" s="31">
        <f t="shared" ref="Y15" si="25">SUM(Y10:Y14)</f>
        <v>26934.07</v>
      </c>
      <c r="Z15" s="31">
        <f t="shared" ref="Z15" si="26">SUM(Z10:Z14)</f>
        <v>92717.59</v>
      </c>
      <c r="AA15" s="31">
        <f t="shared" ref="AA15" si="27">SUM(AA10:AA14)</f>
        <v>50650.720000000001</v>
      </c>
      <c r="AB15" s="31">
        <f t="shared" ref="AB15" si="28">SUM(AB10:AB14)</f>
        <v>49351.43</v>
      </c>
      <c r="AC15" s="31">
        <f t="shared" ref="AC15" si="29">SUM(AC10:AC14)</f>
        <v>90716.29</v>
      </c>
      <c r="AD15" s="31">
        <f t="shared" ref="AD15" si="30">SUM(AD10:AD14)</f>
        <v>58917.919999999998</v>
      </c>
      <c r="AE15" s="31"/>
      <c r="AF15" s="31"/>
      <c r="AG15" s="31"/>
    </row>
    <row r="17" spans="1:33" ht="15" customHeight="1" x14ac:dyDescent="0.3">
      <c r="A17" s="14" t="s">
        <v>6</v>
      </c>
      <c r="B17" s="27">
        <v>46082</v>
      </c>
      <c r="C17" s="28">
        <v>46082</v>
      </c>
      <c r="D17" s="28">
        <f>C17+1</f>
        <v>46083</v>
      </c>
      <c r="E17" s="28">
        <f>D17+1</f>
        <v>46084</v>
      </c>
      <c r="F17" s="28">
        <f>E17+1</f>
        <v>46085</v>
      </c>
      <c r="G17" s="28">
        <f>F17+1</f>
        <v>46086</v>
      </c>
      <c r="H17" s="28">
        <f>G17+1</f>
        <v>46087</v>
      </c>
      <c r="I17" s="28">
        <f>H17+1</f>
        <v>46088</v>
      </c>
      <c r="J17" s="28">
        <f>I17+1</f>
        <v>46089</v>
      </c>
      <c r="K17" s="28">
        <f>J17+1</f>
        <v>46090</v>
      </c>
      <c r="L17" s="28">
        <f>K17+1</f>
        <v>46091</v>
      </c>
      <c r="M17" s="28">
        <f>L17+1</f>
        <v>46092</v>
      </c>
      <c r="N17" s="28">
        <f>M17+1</f>
        <v>46093</v>
      </c>
      <c r="O17" s="28">
        <f>N17+1</f>
        <v>46094</v>
      </c>
      <c r="P17" s="28">
        <f>O17+1</f>
        <v>46095</v>
      </c>
      <c r="Q17" s="28">
        <f>P17+1</f>
        <v>46096</v>
      </c>
      <c r="R17" s="28">
        <f>Q17+1</f>
        <v>46097</v>
      </c>
      <c r="S17" s="28">
        <f>R17+1</f>
        <v>46098</v>
      </c>
      <c r="T17" s="28">
        <f>S17+1</f>
        <v>46099</v>
      </c>
      <c r="U17" s="28">
        <f>T17+1</f>
        <v>46100</v>
      </c>
      <c r="V17" s="28">
        <f>U17+1</f>
        <v>46101</v>
      </c>
      <c r="W17" s="28">
        <f>V17+1</f>
        <v>46102</v>
      </c>
      <c r="X17" s="28">
        <f>W17+1</f>
        <v>46103</v>
      </c>
      <c r="Y17" s="28">
        <f>X17+1</f>
        <v>46104</v>
      </c>
      <c r="Z17" s="28">
        <f>Y17+1</f>
        <v>46105</v>
      </c>
      <c r="AA17" s="28">
        <f>Z17+1</f>
        <v>46106</v>
      </c>
      <c r="AB17" s="28">
        <f>AA17+1</f>
        <v>46107</v>
      </c>
      <c r="AC17" s="28">
        <f>AB17+1</f>
        <v>46108</v>
      </c>
      <c r="AD17" s="28">
        <f>AC17+1</f>
        <v>46109</v>
      </c>
      <c r="AE17" s="28">
        <f>AD17+1</f>
        <v>46110</v>
      </c>
      <c r="AF17" s="28">
        <f>AE17+1</f>
        <v>46111</v>
      </c>
      <c r="AG17" s="28">
        <f>AF17+1</f>
        <v>46112</v>
      </c>
    </row>
    <row r="18" spans="1:33" ht="15" customHeight="1" x14ac:dyDescent="0.25">
      <c r="A18" s="30" t="s">
        <v>9</v>
      </c>
      <c r="B18" s="31">
        <f>SUM(C18:AG18)</f>
        <v>100539.58000000002</v>
      </c>
      <c r="C18" s="32">
        <f>SUMIFS(ecommerce_sales_1000_records!$E:E,ecommerce_sales_1000_records!$G:G,C$17,ecommerce_sales_1000_records!$C:C,MTD!$A18)</f>
        <v>1898.3</v>
      </c>
      <c r="D18" s="32">
        <f>SUMIFS(ecommerce_sales_1000_records!$E:F,ecommerce_sales_1000_records!$G:H,D$17,ecommerce_sales_1000_records!$C:D,MTD!$A18)</f>
        <v>4603.03</v>
      </c>
      <c r="E18" s="32">
        <f>SUMIFS(ecommerce_sales_1000_records!$E:G,ecommerce_sales_1000_records!$G:I,E$17,ecommerce_sales_1000_records!$C:E,MTD!$A18)</f>
        <v>5089.57</v>
      </c>
      <c r="F18" s="32">
        <f>SUMIFS(ecommerce_sales_1000_records!$E:H,ecommerce_sales_1000_records!$G:J,F$17,ecommerce_sales_1000_records!$C:F,MTD!$A18)</f>
        <v>1629</v>
      </c>
      <c r="G18" s="32">
        <f>SUMIFS(ecommerce_sales_1000_records!$E:I,ecommerce_sales_1000_records!$G:K,G$17,ecommerce_sales_1000_records!$C:G,MTD!$A18)</f>
        <v>0</v>
      </c>
      <c r="H18" s="32">
        <f>SUMIFS(ecommerce_sales_1000_records!$E:J,ecommerce_sales_1000_records!$G:L,H$17,ecommerce_sales_1000_records!$C:H,MTD!$A18)</f>
        <v>1646.33</v>
      </c>
      <c r="I18" s="32">
        <f>SUMIFS(ecommerce_sales_1000_records!$E:K,ecommerce_sales_1000_records!$G:M,I$17,ecommerce_sales_1000_records!$C:I,MTD!$A18)</f>
        <v>0</v>
      </c>
      <c r="J18" s="32">
        <f>SUMIFS(ecommerce_sales_1000_records!$E:L,ecommerce_sales_1000_records!$G:N,J$17,ecommerce_sales_1000_records!$C:J,MTD!$A18)</f>
        <v>4548.04</v>
      </c>
      <c r="K18" s="32">
        <f>SUMIFS(ecommerce_sales_1000_records!$E:M,ecommerce_sales_1000_records!$G:O,K$17,ecommerce_sales_1000_records!$C:K,MTD!$A18)</f>
        <v>8669.9600000000009</v>
      </c>
      <c r="L18" s="32">
        <f>SUMIFS(ecommerce_sales_1000_records!$E:N,ecommerce_sales_1000_records!$G:P,L$17,ecommerce_sales_1000_records!$C:L,MTD!$A18)</f>
        <v>0</v>
      </c>
      <c r="M18" s="32">
        <f>SUMIFS(ecommerce_sales_1000_records!$E:O,ecommerce_sales_1000_records!$G:Q,M$17,ecommerce_sales_1000_records!$C:M,MTD!$A18)</f>
        <v>0</v>
      </c>
      <c r="N18" s="32">
        <f>SUMIFS(ecommerce_sales_1000_records!$E:P,ecommerce_sales_1000_records!$G:R,N$17,ecommerce_sales_1000_records!$C:N,MTD!$A18)</f>
        <v>15664.800000000001</v>
      </c>
      <c r="O18" s="32">
        <f>SUMIFS(ecommerce_sales_1000_records!$E:Q,ecommerce_sales_1000_records!$G:S,O$17,ecommerce_sales_1000_records!$C:O,MTD!$A18)</f>
        <v>5460.09</v>
      </c>
      <c r="P18" s="32">
        <f>SUMIFS(ecommerce_sales_1000_records!$E:R,ecommerce_sales_1000_records!$G:T,P$17,ecommerce_sales_1000_records!$C:P,MTD!$A18)</f>
        <v>0</v>
      </c>
      <c r="Q18" s="32">
        <f>SUMIFS(ecommerce_sales_1000_records!$E:S,ecommerce_sales_1000_records!$G:U,Q$17,ecommerce_sales_1000_records!$C:Q,MTD!$A18)</f>
        <v>1691.96</v>
      </c>
      <c r="R18" s="32">
        <f>SUMIFS(ecommerce_sales_1000_records!$E:T,ecommerce_sales_1000_records!$G:V,R$17,ecommerce_sales_1000_records!$C:R,MTD!$A18)</f>
        <v>0</v>
      </c>
      <c r="S18" s="32">
        <f>SUMIFS(ecommerce_sales_1000_records!$E:U,ecommerce_sales_1000_records!$G:W,S$17,ecommerce_sales_1000_records!$C:S,MTD!$A18)</f>
        <v>0</v>
      </c>
      <c r="T18" s="32">
        <f>SUMIFS(ecommerce_sales_1000_records!$E:V,ecommerce_sales_1000_records!$G:X,T$17,ecommerce_sales_1000_records!$C:T,MTD!$A18)</f>
        <v>4504.99</v>
      </c>
      <c r="U18" s="32">
        <f>SUMIFS(ecommerce_sales_1000_records!$E:W,ecommerce_sales_1000_records!$G:Y,U$17,ecommerce_sales_1000_records!$C:U,MTD!$A18)</f>
        <v>5275.12</v>
      </c>
      <c r="V18" s="32">
        <f>SUMIFS(ecommerce_sales_1000_records!$E:X,ecommerce_sales_1000_records!$G:Z,V$17,ecommerce_sales_1000_records!$C:V,MTD!$A18)</f>
        <v>0</v>
      </c>
      <c r="W18" s="32">
        <f>SUMIFS(ecommerce_sales_1000_records!$E:Y,ecommerce_sales_1000_records!$G:AA,W$17,ecommerce_sales_1000_records!$C:W,MTD!$A18)</f>
        <v>0</v>
      </c>
      <c r="X18" s="32">
        <f>SUMIFS(ecommerce_sales_1000_records!$E:Z,ecommerce_sales_1000_records!$G:AB,X$17,ecommerce_sales_1000_records!$C:X,MTD!$A18)</f>
        <v>4535.79</v>
      </c>
      <c r="Y18" s="32">
        <f>SUMIFS(ecommerce_sales_1000_records!$E:AA,ecommerce_sales_1000_records!$G:AC,Y$17,ecommerce_sales_1000_records!$C:Y,MTD!$A18)</f>
        <v>0</v>
      </c>
      <c r="Z18" s="32">
        <f>SUMIFS(ecommerce_sales_1000_records!$E:AB,ecommerce_sales_1000_records!$G:AD,Z$17,ecommerce_sales_1000_records!$C:Z,MTD!$A18)</f>
        <v>1892.13</v>
      </c>
      <c r="AA18" s="32">
        <f>SUMIFS(ecommerce_sales_1000_records!$E:AC,ecommerce_sales_1000_records!$G:AE,AA$17,ecommerce_sales_1000_records!$C:AA,MTD!$A18)</f>
        <v>0</v>
      </c>
      <c r="AB18" s="32">
        <f>SUMIFS(ecommerce_sales_1000_records!$E:AD,ecommerce_sales_1000_records!$G:AF,AB$17,ecommerce_sales_1000_records!$C:AB,MTD!$A18)</f>
        <v>3274.8500000000004</v>
      </c>
      <c r="AC18" s="32">
        <f>SUMIFS(ecommerce_sales_1000_records!$E:AE,ecommerce_sales_1000_records!$G:AG,AC$17,ecommerce_sales_1000_records!$C:AC,MTD!$A18)</f>
        <v>1969.59</v>
      </c>
      <c r="AD18" s="32">
        <f>SUMIFS(ecommerce_sales_1000_records!$E:AF,ecommerce_sales_1000_records!$G:AH,AD$17,ecommerce_sales_1000_records!$C:AD,MTD!$A18)</f>
        <v>9350.83</v>
      </c>
      <c r="AE18" s="32">
        <f>SUMIFS(ecommerce_sales_1000_records!$E:AG,ecommerce_sales_1000_records!$G:AI,AE$17,ecommerce_sales_1000_records!$C:AE,MTD!$A18)</f>
        <v>0</v>
      </c>
      <c r="AF18" s="32">
        <f>SUMIFS(ecommerce_sales_1000_records!$E:AH,ecommerce_sales_1000_records!$G:AJ,AF$17,ecommerce_sales_1000_records!$C:AF,MTD!$A18)</f>
        <v>8475.6699999999983</v>
      </c>
      <c r="AG18" s="32">
        <f>SUMIFS(ecommerce_sales_1000_records!$E:AI,ecommerce_sales_1000_records!$G:AK,AG$17,ecommerce_sales_1000_records!$C:AG,MTD!$A18)</f>
        <v>10359.529999999999</v>
      </c>
    </row>
    <row r="19" spans="1:33" ht="15" customHeight="1" x14ac:dyDescent="0.25">
      <c r="A19" s="30" t="s">
        <v>13</v>
      </c>
      <c r="B19" s="31">
        <f t="shared" ref="B19:B22" si="31">SUM(C19:AG19)</f>
        <v>1111658.1500000001</v>
      </c>
      <c r="C19" s="32">
        <f>SUMIFS(ecommerce_sales_1000_records!$E:E,ecommerce_sales_1000_records!$G:G,C$17,ecommerce_sales_1000_records!$C:C,MTD!$A19)</f>
        <v>56715.8</v>
      </c>
      <c r="D19" s="32">
        <f>SUMIFS(ecommerce_sales_1000_records!$E:F,ecommerce_sales_1000_records!$G:H,D$17,ecommerce_sales_1000_records!$C:D,MTD!$A19)</f>
        <v>27959.71</v>
      </c>
      <c r="E19" s="32">
        <f>SUMIFS(ecommerce_sales_1000_records!$E:G,ecommerce_sales_1000_records!$G:I,E$17,ecommerce_sales_1000_records!$C:E,MTD!$A19)</f>
        <v>114224.85</v>
      </c>
      <c r="F19" s="32">
        <f>SUMIFS(ecommerce_sales_1000_records!$E:H,ecommerce_sales_1000_records!$G:J,F$17,ecommerce_sales_1000_records!$C:F,MTD!$A19)</f>
        <v>0</v>
      </c>
      <c r="G19" s="32">
        <f>SUMIFS(ecommerce_sales_1000_records!$E:I,ecommerce_sales_1000_records!$G:K,G$17,ecommerce_sales_1000_records!$C:G,MTD!$A19)</f>
        <v>2397.62</v>
      </c>
      <c r="H19" s="32">
        <f>SUMIFS(ecommerce_sales_1000_records!$E:J,ecommerce_sales_1000_records!$G:L,H$17,ecommerce_sales_1000_records!$C:H,MTD!$A19)</f>
        <v>0</v>
      </c>
      <c r="I19" s="32">
        <f>SUMIFS(ecommerce_sales_1000_records!$E:K,ecommerce_sales_1000_records!$G:M,I$17,ecommerce_sales_1000_records!$C:I,MTD!$A19)</f>
        <v>42993.279999999999</v>
      </c>
      <c r="J19" s="32">
        <f>SUMIFS(ecommerce_sales_1000_records!$E:L,ecommerce_sales_1000_records!$G:N,J$17,ecommerce_sales_1000_records!$C:J,MTD!$A19)</f>
        <v>2268.38</v>
      </c>
      <c r="K19" s="32">
        <f>SUMIFS(ecommerce_sales_1000_records!$E:M,ecommerce_sales_1000_records!$G:O,K$17,ecommerce_sales_1000_records!$C:K,MTD!$A19)</f>
        <v>1559.16</v>
      </c>
      <c r="L19" s="32">
        <f>SUMIFS(ecommerce_sales_1000_records!$E:N,ecommerce_sales_1000_records!$G:P,L$17,ecommerce_sales_1000_records!$C:L,MTD!$A19)</f>
        <v>49713.399999999994</v>
      </c>
      <c r="M19" s="32">
        <f>SUMIFS(ecommerce_sales_1000_records!$E:O,ecommerce_sales_1000_records!$G:Q,M$17,ecommerce_sales_1000_records!$C:M,MTD!$A19)</f>
        <v>18872.7</v>
      </c>
      <c r="N19" s="32">
        <f>SUMIFS(ecommerce_sales_1000_records!$E:P,ecommerce_sales_1000_records!$G:R,N$17,ecommerce_sales_1000_records!$C:N,MTD!$A19)</f>
        <v>2075.21</v>
      </c>
      <c r="O19" s="32">
        <f>SUMIFS(ecommerce_sales_1000_records!$E:Q,ecommerce_sales_1000_records!$G:S,O$17,ecommerce_sales_1000_records!$C:O,MTD!$A19)</f>
        <v>56068.28</v>
      </c>
      <c r="P19" s="32">
        <f>SUMIFS(ecommerce_sales_1000_records!$E:R,ecommerce_sales_1000_records!$G:T,P$17,ecommerce_sales_1000_records!$C:P,MTD!$A19)</f>
        <v>29447.27</v>
      </c>
      <c r="Q19" s="32">
        <f>SUMIFS(ecommerce_sales_1000_records!$E:S,ecommerce_sales_1000_records!$G:U,Q$17,ecommerce_sales_1000_records!$C:Q,MTD!$A19)</f>
        <v>52417.23</v>
      </c>
      <c r="R19" s="32">
        <f>SUMIFS(ecommerce_sales_1000_records!$E:T,ecommerce_sales_1000_records!$G:V,R$17,ecommerce_sales_1000_records!$C:R,MTD!$A19)</f>
        <v>2342.4899999999998</v>
      </c>
      <c r="S19" s="32">
        <f>SUMIFS(ecommerce_sales_1000_records!$E:U,ecommerce_sales_1000_records!$G:W,S$17,ecommerce_sales_1000_records!$C:S,MTD!$A19)</f>
        <v>49541.97</v>
      </c>
      <c r="T19" s="32">
        <f>SUMIFS(ecommerce_sales_1000_records!$E:V,ecommerce_sales_1000_records!$G:X,T$17,ecommerce_sales_1000_records!$C:T,MTD!$A19)</f>
        <v>20009.940000000002</v>
      </c>
      <c r="U19" s="32">
        <f>SUMIFS(ecommerce_sales_1000_records!$E:W,ecommerce_sales_1000_records!$G:Y,U$17,ecommerce_sales_1000_records!$C:U,MTD!$A19)</f>
        <v>54832.46</v>
      </c>
      <c r="V19" s="32">
        <f>SUMIFS(ecommerce_sales_1000_records!$E:X,ecommerce_sales_1000_records!$G:Z,V$17,ecommerce_sales_1000_records!$C:V,MTD!$A19)</f>
        <v>2148.7600000000002</v>
      </c>
      <c r="W19" s="32">
        <f>SUMIFS(ecommerce_sales_1000_records!$E:Y,ecommerce_sales_1000_records!$G:AA,W$17,ecommerce_sales_1000_records!$C:W,MTD!$A19)</f>
        <v>53965.8</v>
      </c>
      <c r="X19" s="32">
        <f>SUMIFS(ecommerce_sales_1000_records!$E:Z,ecommerce_sales_1000_records!$G:AB,X$17,ecommerce_sales_1000_records!$C:X,MTD!$A19)</f>
        <v>23133.65</v>
      </c>
      <c r="Y19" s="32">
        <f>SUMIFS(ecommerce_sales_1000_records!$E:AA,ecommerce_sales_1000_records!$G:AC,Y$17,ecommerce_sales_1000_records!$C:Y,MTD!$A19)</f>
        <v>49396.520000000004</v>
      </c>
      <c r="Z19" s="32">
        <f>SUMIFS(ecommerce_sales_1000_records!$E:AB,ecommerce_sales_1000_records!$G:AD,Z$17,ecommerce_sales_1000_records!$C:Z,MTD!$A19)</f>
        <v>28020.21</v>
      </c>
      <c r="AA19" s="32">
        <f>SUMIFS(ecommerce_sales_1000_records!$E:AC,ecommerce_sales_1000_records!$G:AE,AA$17,ecommerce_sales_1000_records!$C:AA,MTD!$A19)</f>
        <v>91357.05</v>
      </c>
      <c r="AB19" s="32">
        <f>SUMIFS(ecommerce_sales_1000_records!$E:AD,ecommerce_sales_1000_records!$G:AF,AB$17,ecommerce_sales_1000_records!$C:AB,MTD!$A19)</f>
        <v>35836.31</v>
      </c>
      <c r="AC19" s="32">
        <f>SUMIFS(ecommerce_sales_1000_records!$E:AE,ecommerce_sales_1000_records!$G:AG,AC$17,ecommerce_sales_1000_records!$C:AC,MTD!$A19)</f>
        <v>87250.57</v>
      </c>
      <c r="AD19" s="32">
        <f>SUMIFS(ecommerce_sales_1000_records!$E:AF,ecommerce_sales_1000_records!$G:AH,AD$17,ecommerce_sales_1000_records!$C:AD,MTD!$A19)</f>
        <v>6183.64</v>
      </c>
      <c r="AE19" s="32">
        <f>SUMIFS(ecommerce_sales_1000_records!$E:AG,ecommerce_sales_1000_records!$G:AI,AE$17,ecommerce_sales_1000_records!$C:AE,MTD!$A19)</f>
        <v>19109.050000000003</v>
      </c>
      <c r="AF19" s="32">
        <f>SUMIFS(ecommerce_sales_1000_records!$E:AH,ecommerce_sales_1000_records!$G:AJ,AF$17,ecommerce_sales_1000_records!$C:AF,MTD!$A19)</f>
        <v>129577.43000000001</v>
      </c>
      <c r="AG19" s="32">
        <f>SUMIFS(ecommerce_sales_1000_records!$E:AI,ecommerce_sales_1000_records!$G:AK,AG$17,ecommerce_sales_1000_records!$C:AG,MTD!$A19)</f>
        <v>2239.41</v>
      </c>
    </row>
    <row r="20" spans="1:33" ht="15" customHeight="1" x14ac:dyDescent="0.25">
      <c r="A20" s="30" t="s">
        <v>17</v>
      </c>
      <c r="B20" s="31">
        <f t="shared" si="31"/>
        <v>5430.06</v>
      </c>
      <c r="C20" s="32">
        <f>SUMIFS(ecommerce_sales_1000_records!$E:E,ecommerce_sales_1000_records!$G:G,C$17,ecommerce_sales_1000_records!$C:C,MTD!$A20)</f>
        <v>472.72</v>
      </c>
      <c r="D20" s="32">
        <f>SUMIFS(ecommerce_sales_1000_records!$E:F,ecommerce_sales_1000_records!$G:H,D$17,ecommerce_sales_1000_records!$C:D,MTD!$A20)</f>
        <v>410.61</v>
      </c>
      <c r="E20" s="32">
        <f>SUMIFS(ecommerce_sales_1000_records!$E:G,ecommerce_sales_1000_records!$G:I,E$17,ecommerce_sales_1000_records!$C:E,MTD!$A20)</f>
        <v>0</v>
      </c>
      <c r="F20" s="32">
        <f>SUMIFS(ecommerce_sales_1000_records!$E:H,ecommerce_sales_1000_records!$G:J,F$17,ecommerce_sales_1000_records!$C:F,MTD!$A20)</f>
        <v>445.18</v>
      </c>
      <c r="G20" s="32">
        <f>SUMIFS(ecommerce_sales_1000_records!$E:I,ecommerce_sales_1000_records!$G:K,G$17,ecommerce_sales_1000_records!$C:G,MTD!$A20)</f>
        <v>0</v>
      </c>
      <c r="H20" s="32">
        <f>SUMIFS(ecommerce_sales_1000_records!$E:J,ecommerce_sales_1000_records!$G:L,H$17,ecommerce_sales_1000_records!$C:H,MTD!$A20)</f>
        <v>0</v>
      </c>
      <c r="I20" s="32">
        <f>SUMIFS(ecommerce_sales_1000_records!$E:K,ecommerce_sales_1000_records!$G:M,I$17,ecommerce_sales_1000_records!$C:I,MTD!$A20)</f>
        <v>486.53</v>
      </c>
      <c r="J20" s="32">
        <f>SUMIFS(ecommerce_sales_1000_records!$E:L,ecommerce_sales_1000_records!$G:N,J$17,ecommerce_sales_1000_records!$C:J,MTD!$A20)</f>
        <v>0</v>
      </c>
      <c r="K20" s="32">
        <f>SUMIFS(ecommerce_sales_1000_records!$E:M,ecommerce_sales_1000_records!$G:O,K$17,ecommerce_sales_1000_records!$C:K,MTD!$A20)</f>
        <v>0</v>
      </c>
      <c r="L20" s="32">
        <f>SUMIFS(ecommerce_sales_1000_records!$E:N,ecommerce_sales_1000_records!$G:P,L$17,ecommerce_sales_1000_records!$C:L,MTD!$A20)</f>
        <v>427.72</v>
      </c>
      <c r="M20" s="32">
        <f>SUMIFS(ecommerce_sales_1000_records!$E:O,ecommerce_sales_1000_records!$G:Q,M$17,ecommerce_sales_1000_records!$C:M,MTD!$A20)</f>
        <v>0</v>
      </c>
      <c r="N20" s="32">
        <f>SUMIFS(ecommerce_sales_1000_records!$E:P,ecommerce_sales_1000_records!$G:R,N$17,ecommerce_sales_1000_records!$C:N,MTD!$A20)</f>
        <v>0</v>
      </c>
      <c r="O20" s="32">
        <f>SUMIFS(ecommerce_sales_1000_records!$E:Q,ecommerce_sales_1000_records!$G:S,O$17,ecommerce_sales_1000_records!$C:O,MTD!$A20)</f>
        <v>0</v>
      </c>
      <c r="P20" s="32">
        <f>SUMIFS(ecommerce_sales_1000_records!$E:R,ecommerce_sales_1000_records!$G:T,P$17,ecommerce_sales_1000_records!$C:P,MTD!$A20)</f>
        <v>0</v>
      </c>
      <c r="Q20" s="32">
        <f>SUMIFS(ecommerce_sales_1000_records!$E:S,ecommerce_sales_1000_records!$G:U,Q$17,ecommerce_sales_1000_records!$C:Q,MTD!$A20)</f>
        <v>0</v>
      </c>
      <c r="R20" s="32">
        <f>SUMIFS(ecommerce_sales_1000_records!$E:T,ecommerce_sales_1000_records!$G:V,R$17,ecommerce_sales_1000_records!$C:R,MTD!$A20)</f>
        <v>420.15</v>
      </c>
      <c r="S20" s="32">
        <f>SUMIFS(ecommerce_sales_1000_records!$E:U,ecommerce_sales_1000_records!$G:W,S$17,ecommerce_sales_1000_records!$C:S,MTD!$A20)</f>
        <v>470.91</v>
      </c>
      <c r="T20" s="32">
        <f>SUMIFS(ecommerce_sales_1000_records!$E:V,ecommerce_sales_1000_records!$G:X,T$17,ecommerce_sales_1000_records!$C:T,MTD!$A20)</f>
        <v>494.12</v>
      </c>
      <c r="U20" s="32">
        <f>SUMIFS(ecommerce_sales_1000_records!$E:W,ecommerce_sales_1000_records!$G:Y,U$17,ecommerce_sales_1000_records!$C:U,MTD!$A20)</f>
        <v>0</v>
      </c>
      <c r="V20" s="32">
        <f>SUMIFS(ecommerce_sales_1000_records!$E:X,ecommerce_sales_1000_records!$G:Z,V$17,ecommerce_sales_1000_records!$C:V,MTD!$A20)</f>
        <v>0</v>
      </c>
      <c r="W20" s="32">
        <f>SUMIFS(ecommerce_sales_1000_records!$E:Y,ecommerce_sales_1000_records!$G:AA,W$17,ecommerce_sales_1000_records!$C:W,MTD!$A20)</f>
        <v>0</v>
      </c>
      <c r="X20" s="32">
        <f>SUMIFS(ecommerce_sales_1000_records!$E:Z,ecommerce_sales_1000_records!$G:AB,X$17,ecommerce_sales_1000_records!$C:X,MTD!$A20)</f>
        <v>455.9</v>
      </c>
      <c r="Y20" s="32">
        <f>SUMIFS(ecommerce_sales_1000_records!$E:AA,ecommerce_sales_1000_records!$G:AC,Y$17,ecommerce_sales_1000_records!$C:Y,MTD!$A20)</f>
        <v>0</v>
      </c>
      <c r="Z20" s="32">
        <f>SUMIFS(ecommerce_sales_1000_records!$E:AB,ecommerce_sales_1000_records!$G:AD,Z$17,ecommerce_sales_1000_records!$C:Z,MTD!$A20)</f>
        <v>0</v>
      </c>
      <c r="AA20" s="32">
        <f>SUMIFS(ecommerce_sales_1000_records!$E:AC,ecommerce_sales_1000_records!$G:AE,AA$17,ecommerce_sales_1000_records!$C:AA,MTD!$A20)</f>
        <v>926.22</v>
      </c>
      <c r="AB20" s="32">
        <f>SUMIFS(ecommerce_sales_1000_records!$E:AD,ecommerce_sales_1000_records!$G:AF,AB$17,ecommerce_sales_1000_records!$C:AB,MTD!$A20)</f>
        <v>0</v>
      </c>
      <c r="AC20" s="32">
        <f>SUMIFS(ecommerce_sales_1000_records!$E:AE,ecommerce_sales_1000_records!$G:AG,AC$17,ecommerce_sales_1000_records!$C:AC,MTD!$A20)</f>
        <v>0</v>
      </c>
      <c r="AD20" s="32">
        <f>SUMIFS(ecommerce_sales_1000_records!$E:AF,ecommerce_sales_1000_records!$G:AH,AD$17,ecommerce_sales_1000_records!$C:AD,MTD!$A20)</f>
        <v>0</v>
      </c>
      <c r="AE20" s="32">
        <f>SUMIFS(ecommerce_sales_1000_records!$E:AG,ecommerce_sales_1000_records!$G:AI,AE$17,ecommerce_sales_1000_records!$C:AE,MTD!$A20)</f>
        <v>0</v>
      </c>
      <c r="AF20" s="32">
        <f>SUMIFS(ecommerce_sales_1000_records!$E:AH,ecommerce_sales_1000_records!$G:AJ,AF$17,ecommerce_sales_1000_records!$C:AF,MTD!$A20)</f>
        <v>0</v>
      </c>
      <c r="AG20" s="32">
        <f>SUMIFS(ecommerce_sales_1000_records!$E:AI,ecommerce_sales_1000_records!$G:AK,AG$17,ecommerce_sales_1000_records!$C:AG,MTD!$A20)</f>
        <v>420</v>
      </c>
    </row>
    <row r="21" spans="1:33" ht="15" customHeight="1" x14ac:dyDescent="0.25">
      <c r="A21" s="30" t="s">
        <v>25</v>
      </c>
      <c r="B21" s="31">
        <f t="shared" si="31"/>
        <v>59196.430000000015</v>
      </c>
      <c r="C21" s="32">
        <f>SUMIFS(ecommerce_sales_1000_records!$E:E,ecommerce_sales_1000_records!$G:G,C$17,ecommerce_sales_1000_records!$C:C,MTD!$A21)</f>
        <v>2384.5</v>
      </c>
      <c r="D21" s="32">
        <f>SUMIFS(ecommerce_sales_1000_records!$E:F,ecommerce_sales_1000_records!$G:H,D$17,ecommerce_sales_1000_records!$C:D,MTD!$A21)</f>
        <v>0</v>
      </c>
      <c r="E21" s="32">
        <f>SUMIFS(ecommerce_sales_1000_records!$E:G,ecommerce_sales_1000_records!$G:I,E$17,ecommerce_sales_1000_records!$C:E,MTD!$A21)</f>
        <v>736.55</v>
      </c>
      <c r="F21" s="32">
        <f>SUMIFS(ecommerce_sales_1000_records!$E:H,ecommerce_sales_1000_records!$G:J,F$17,ecommerce_sales_1000_records!$C:F,MTD!$A21)</f>
        <v>844.46</v>
      </c>
      <c r="G21" s="32">
        <f>SUMIFS(ecommerce_sales_1000_records!$E:I,ecommerce_sales_1000_records!$G:K,G$17,ecommerce_sales_1000_records!$C:G,MTD!$A21)</f>
        <v>831.19</v>
      </c>
      <c r="H21" s="32">
        <f>SUMIFS(ecommerce_sales_1000_records!$E:J,ecommerce_sales_1000_records!$G:L,H$17,ecommerce_sales_1000_records!$C:H,MTD!$A21)</f>
        <v>876.91</v>
      </c>
      <c r="I21" s="32">
        <f>SUMIFS(ecommerce_sales_1000_records!$E:K,ecommerce_sales_1000_records!$G:M,I$17,ecommerce_sales_1000_records!$C:I,MTD!$A21)</f>
        <v>0</v>
      </c>
      <c r="J21" s="32">
        <f>SUMIFS(ecommerce_sales_1000_records!$E:L,ecommerce_sales_1000_records!$G:N,J$17,ecommerce_sales_1000_records!$C:J,MTD!$A21)</f>
        <v>5245.35</v>
      </c>
      <c r="K21" s="32">
        <f>SUMIFS(ecommerce_sales_1000_records!$E:M,ecommerce_sales_1000_records!$G:O,K$17,ecommerce_sales_1000_records!$C:K,MTD!$A21)</f>
        <v>6899.72</v>
      </c>
      <c r="L21" s="32">
        <f>SUMIFS(ecommerce_sales_1000_records!$E:N,ecommerce_sales_1000_records!$G:P,L$17,ecommerce_sales_1000_records!$C:L,MTD!$A21)</f>
        <v>1606.46</v>
      </c>
      <c r="M21" s="32">
        <f>SUMIFS(ecommerce_sales_1000_records!$E:O,ecommerce_sales_1000_records!$G:Q,M$17,ecommerce_sales_1000_records!$C:M,MTD!$A21)</f>
        <v>4500.83</v>
      </c>
      <c r="N21" s="32">
        <f>SUMIFS(ecommerce_sales_1000_records!$E:P,ecommerce_sales_1000_records!$G:R,N$17,ecommerce_sales_1000_records!$C:N,MTD!$A21)</f>
        <v>0</v>
      </c>
      <c r="O21" s="32">
        <f>SUMIFS(ecommerce_sales_1000_records!$E:Q,ecommerce_sales_1000_records!$G:S,O$17,ecommerce_sales_1000_records!$C:O,MTD!$A21)</f>
        <v>2027.02</v>
      </c>
      <c r="P21" s="32">
        <f>SUMIFS(ecommerce_sales_1000_records!$E:R,ecommerce_sales_1000_records!$G:T,P$17,ecommerce_sales_1000_records!$C:P,MTD!$A21)</f>
        <v>7222.46</v>
      </c>
      <c r="Q21" s="32">
        <f>SUMIFS(ecommerce_sales_1000_records!$E:S,ecommerce_sales_1000_records!$G:U,Q$17,ecommerce_sales_1000_records!$C:Q,MTD!$A21)</f>
        <v>5497.9599999999991</v>
      </c>
      <c r="R21" s="32">
        <f>SUMIFS(ecommerce_sales_1000_records!$E:T,ecommerce_sales_1000_records!$G:V,R$17,ecommerce_sales_1000_records!$C:R,MTD!$A21)</f>
        <v>3605.98</v>
      </c>
      <c r="S21" s="32">
        <f>SUMIFS(ecommerce_sales_1000_records!$E:U,ecommerce_sales_1000_records!$G:W,S$17,ecommerce_sales_1000_records!$C:S,MTD!$A21)</f>
        <v>2698.58</v>
      </c>
      <c r="T21" s="32">
        <f>SUMIFS(ecommerce_sales_1000_records!$E:V,ecommerce_sales_1000_records!$G:X,T$17,ecommerce_sales_1000_records!$C:T,MTD!$A21)</f>
        <v>1988.41</v>
      </c>
      <c r="U21" s="32">
        <f>SUMIFS(ecommerce_sales_1000_records!$E:W,ecommerce_sales_1000_records!$G:Y,U$17,ecommerce_sales_1000_records!$C:U,MTD!$A21)</f>
        <v>0</v>
      </c>
      <c r="V21" s="32">
        <f>SUMIFS(ecommerce_sales_1000_records!$E:X,ecommerce_sales_1000_records!$G:Z,V$17,ecommerce_sales_1000_records!$C:V,MTD!$A21)</f>
        <v>3086.0699999999997</v>
      </c>
      <c r="W21" s="32">
        <f>SUMIFS(ecommerce_sales_1000_records!$E:Y,ecommerce_sales_1000_records!$G:AA,W$17,ecommerce_sales_1000_records!$C:W,MTD!$A21)</f>
        <v>722.33</v>
      </c>
      <c r="X21" s="32">
        <f>SUMIFS(ecommerce_sales_1000_records!$E:Z,ecommerce_sales_1000_records!$G:AB,X$17,ecommerce_sales_1000_records!$C:X,MTD!$A21)</f>
        <v>0</v>
      </c>
      <c r="Y21" s="32">
        <f>SUMIFS(ecommerce_sales_1000_records!$E:AA,ecommerce_sales_1000_records!$G:AC,Y$17,ecommerce_sales_1000_records!$C:Y,MTD!$A21)</f>
        <v>730.26</v>
      </c>
      <c r="Z21" s="32">
        <f>SUMIFS(ecommerce_sales_1000_records!$E:AB,ecommerce_sales_1000_records!$G:AD,Z$17,ecommerce_sales_1000_records!$C:Z,MTD!$A21)</f>
        <v>0</v>
      </c>
      <c r="AA21" s="32">
        <f>SUMIFS(ecommerce_sales_1000_records!$E:AC,ecommerce_sales_1000_records!$G:AE,AA$17,ecommerce_sales_1000_records!$C:AA,MTD!$A21)</f>
        <v>0</v>
      </c>
      <c r="AB21" s="32">
        <f>SUMIFS(ecommerce_sales_1000_records!$E:AD,ecommerce_sales_1000_records!$G:AF,AB$17,ecommerce_sales_1000_records!$C:AB,MTD!$A21)</f>
        <v>3503.96</v>
      </c>
      <c r="AC21" s="32">
        <f>SUMIFS(ecommerce_sales_1000_records!$E:AE,ecommerce_sales_1000_records!$G:AG,AC$17,ecommerce_sales_1000_records!$C:AC,MTD!$A21)</f>
        <v>0</v>
      </c>
      <c r="AD21" s="32">
        <f>SUMIFS(ecommerce_sales_1000_records!$E:AF,ecommerce_sales_1000_records!$G:AH,AD$17,ecommerce_sales_1000_records!$C:AD,MTD!$A21)</f>
        <v>873.69</v>
      </c>
      <c r="AE21" s="32">
        <f>SUMIFS(ecommerce_sales_1000_records!$E:AG,ecommerce_sales_1000_records!$G:AI,AE$17,ecommerce_sales_1000_records!$C:AE,MTD!$A21)</f>
        <v>0</v>
      </c>
      <c r="AF21" s="32">
        <f>SUMIFS(ecommerce_sales_1000_records!$E:AH,ecommerce_sales_1000_records!$G:AJ,AF$17,ecommerce_sales_1000_records!$C:AF,MTD!$A21)</f>
        <v>3313.74</v>
      </c>
      <c r="AG21" s="32">
        <f>SUMIFS(ecommerce_sales_1000_records!$E:AI,ecommerce_sales_1000_records!$G:AK,AG$17,ecommerce_sales_1000_records!$C:AG,MTD!$A21)</f>
        <v>0</v>
      </c>
    </row>
    <row r="22" spans="1:33" ht="15" customHeight="1" x14ac:dyDescent="0.25">
      <c r="A22" s="30" t="s">
        <v>39</v>
      </c>
      <c r="B22" s="31">
        <f t="shared" si="31"/>
        <v>213421.06</v>
      </c>
      <c r="C22" s="32">
        <f>SUMIFS(ecommerce_sales_1000_records!$E:E,ecommerce_sales_1000_records!$G:G,C$17,ecommerce_sales_1000_records!$C:C,MTD!$A22)</f>
        <v>12382.779999999999</v>
      </c>
      <c r="D22" s="32">
        <f>SUMIFS(ecommerce_sales_1000_records!$E:F,ecommerce_sales_1000_records!$G:H,D$17,ecommerce_sales_1000_records!$C:D,MTD!$A22)</f>
        <v>10497.81</v>
      </c>
      <c r="E22" s="32">
        <f>SUMIFS(ecommerce_sales_1000_records!$E:G,ecommerce_sales_1000_records!$G:I,E$17,ecommerce_sales_1000_records!$C:E,MTD!$A22)</f>
        <v>4310.84</v>
      </c>
      <c r="F22" s="32">
        <f>SUMIFS(ecommerce_sales_1000_records!$E:H,ecommerce_sales_1000_records!$G:J,F$17,ecommerce_sales_1000_records!$C:F,MTD!$A22)</f>
        <v>12656.93</v>
      </c>
      <c r="G22" s="32">
        <f>SUMIFS(ecommerce_sales_1000_records!$E:I,ecommerce_sales_1000_records!$G:K,G$17,ecommerce_sales_1000_records!$C:G,MTD!$A22)</f>
        <v>0</v>
      </c>
      <c r="H22" s="32">
        <f>SUMIFS(ecommerce_sales_1000_records!$E:J,ecommerce_sales_1000_records!$G:L,H$17,ecommerce_sales_1000_records!$C:H,MTD!$A22)</f>
        <v>16142.03</v>
      </c>
      <c r="I22" s="32">
        <f>SUMIFS(ecommerce_sales_1000_records!$E:K,ecommerce_sales_1000_records!$G:M,I$17,ecommerce_sales_1000_records!$C:I,MTD!$A22)</f>
        <v>6499.09</v>
      </c>
      <c r="J22" s="32">
        <f>SUMIFS(ecommerce_sales_1000_records!$E:L,ecommerce_sales_1000_records!$G:N,J$17,ecommerce_sales_1000_records!$C:J,MTD!$A22)</f>
        <v>6813.63</v>
      </c>
      <c r="K22" s="32">
        <f>SUMIFS(ecommerce_sales_1000_records!$E:M,ecommerce_sales_1000_records!$G:O,K$17,ecommerce_sales_1000_records!$C:K,MTD!$A22)</f>
        <v>9276.84</v>
      </c>
      <c r="L22" s="32">
        <f>SUMIFS(ecommerce_sales_1000_records!$E:N,ecommerce_sales_1000_records!$G:P,L$17,ecommerce_sales_1000_records!$C:L,MTD!$A22)</f>
        <v>21305.42</v>
      </c>
      <c r="M22" s="32">
        <f>SUMIFS(ecommerce_sales_1000_records!$E:O,ecommerce_sales_1000_records!$G:Q,M$17,ecommerce_sales_1000_records!$C:M,MTD!$A22)</f>
        <v>3745.74</v>
      </c>
      <c r="N22" s="32">
        <f>SUMIFS(ecommerce_sales_1000_records!$E:P,ecommerce_sales_1000_records!$G:R,N$17,ecommerce_sales_1000_records!$C:N,MTD!$A22)</f>
        <v>9968.41</v>
      </c>
      <c r="O22" s="32">
        <f>SUMIFS(ecommerce_sales_1000_records!$E:Q,ecommerce_sales_1000_records!$G:S,O$17,ecommerce_sales_1000_records!$C:O,MTD!$A22)</f>
        <v>0</v>
      </c>
      <c r="P22" s="32">
        <f>SUMIFS(ecommerce_sales_1000_records!$E:R,ecommerce_sales_1000_records!$G:T,P$17,ecommerce_sales_1000_records!$C:P,MTD!$A22)</f>
        <v>0</v>
      </c>
      <c r="Q22" s="32">
        <f>SUMIFS(ecommerce_sales_1000_records!$E:S,ecommerce_sales_1000_records!$G:U,Q$17,ecommerce_sales_1000_records!$C:Q,MTD!$A22)</f>
        <v>18109.21</v>
      </c>
      <c r="R22" s="32">
        <f>SUMIFS(ecommerce_sales_1000_records!$E:T,ecommerce_sales_1000_records!$G:V,R$17,ecommerce_sales_1000_records!$C:R,MTD!$A22)</f>
        <v>7090.99</v>
      </c>
      <c r="S22" s="32">
        <f>SUMIFS(ecommerce_sales_1000_records!$E:U,ecommerce_sales_1000_records!$G:W,S$17,ecommerce_sales_1000_records!$C:S,MTD!$A22)</f>
        <v>4266.4799999999996</v>
      </c>
      <c r="T22" s="32">
        <f>SUMIFS(ecommerce_sales_1000_records!$E:V,ecommerce_sales_1000_records!$G:X,T$17,ecommerce_sales_1000_records!$C:T,MTD!$A22)</f>
        <v>4341.01</v>
      </c>
      <c r="U22" s="32">
        <f>SUMIFS(ecommerce_sales_1000_records!$E:W,ecommerce_sales_1000_records!$G:Y,U$17,ecommerce_sales_1000_records!$C:U,MTD!$A22)</f>
        <v>4182.6899999999996</v>
      </c>
      <c r="V22" s="32">
        <f>SUMIFS(ecommerce_sales_1000_records!$E:X,ecommerce_sales_1000_records!$G:Z,V$17,ecommerce_sales_1000_records!$C:V,MTD!$A22)</f>
        <v>5942.83</v>
      </c>
      <c r="W22" s="32">
        <f>SUMIFS(ecommerce_sales_1000_records!$E:Y,ecommerce_sales_1000_records!$G:AA,W$17,ecommerce_sales_1000_records!$C:W,MTD!$A22)</f>
        <v>0</v>
      </c>
      <c r="X22" s="32">
        <f>SUMIFS(ecommerce_sales_1000_records!$E:Z,ecommerce_sales_1000_records!$G:AB,X$17,ecommerce_sales_1000_records!$C:X,MTD!$A22)</f>
        <v>3591.72</v>
      </c>
      <c r="Y22" s="32">
        <f>SUMIFS(ecommerce_sales_1000_records!$E:AA,ecommerce_sales_1000_records!$G:AC,Y$17,ecommerce_sales_1000_records!$C:Y,MTD!$A22)</f>
        <v>9111.130000000001</v>
      </c>
      <c r="Z22" s="32">
        <f>SUMIFS(ecommerce_sales_1000_records!$E:AB,ecommerce_sales_1000_records!$G:AD,Z$17,ecommerce_sales_1000_records!$C:Z,MTD!$A22)</f>
        <v>13582.869999999999</v>
      </c>
      <c r="AA22" s="32">
        <f>SUMIFS(ecommerce_sales_1000_records!$E:AC,ecommerce_sales_1000_records!$G:AE,AA$17,ecommerce_sales_1000_records!$C:AA,MTD!$A22)</f>
        <v>3691.47</v>
      </c>
      <c r="AB22" s="32">
        <f>SUMIFS(ecommerce_sales_1000_records!$E:AD,ecommerce_sales_1000_records!$G:AF,AB$17,ecommerce_sales_1000_records!$C:AB,MTD!$A22)</f>
        <v>6712.36</v>
      </c>
      <c r="AC22" s="32">
        <f>SUMIFS(ecommerce_sales_1000_records!$E:AE,ecommerce_sales_1000_records!$G:AG,AC$17,ecommerce_sales_1000_records!$C:AC,MTD!$A22)</f>
        <v>6819.55</v>
      </c>
      <c r="AD22" s="32">
        <f>SUMIFS(ecommerce_sales_1000_records!$E:AF,ecommerce_sales_1000_records!$G:AH,AD$17,ecommerce_sales_1000_records!$C:AD,MTD!$A22)</f>
        <v>0</v>
      </c>
      <c r="AE22" s="32">
        <f>SUMIFS(ecommerce_sales_1000_records!$E:AG,ecommerce_sales_1000_records!$G:AI,AE$17,ecommerce_sales_1000_records!$C:AE,MTD!$A22)</f>
        <v>0</v>
      </c>
      <c r="AF22" s="32">
        <f>SUMIFS(ecommerce_sales_1000_records!$E:AH,ecommerce_sales_1000_records!$G:AJ,AF$17,ecommerce_sales_1000_records!$C:AF,MTD!$A22)</f>
        <v>3633.31</v>
      </c>
      <c r="AG22" s="32">
        <f>SUMIFS(ecommerce_sales_1000_records!$E:AI,ecommerce_sales_1000_records!$G:AK,AG$17,ecommerce_sales_1000_records!$C:AG,MTD!$A22)</f>
        <v>8745.9199999999983</v>
      </c>
    </row>
    <row r="23" spans="1:33" ht="15" customHeight="1" x14ac:dyDescent="0.3">
      <c r="A23" s="14" t="s">
        <v>1038</v>
      </c>
      <c r="B23" s="19">
        <f>SUM(B18:B22)</f>
        <v>1490245.2800000003</v>
      </c>
      <c r="C23" s="31">
        <f t="shared" ref="C23" si="32">SUM(C18:C22)</f>
        <v>73854.100000000006</v>
      </c>
      <c r="D23" s="31">
        <f t="shared" ref="D23" si="33">SUM(D18:D22)</f>
        <v>43471.159999999996</v>
      </c>
      <c r="E23" s="31">
        <f t="shared" ref="E23" si="34">SUM(E18:E22)</f>
        <v>124361.81000000001</v>
      </c>
      <c r="F23" s="31">
        <f t="shared" ref="F23" si="35">SUM(F18:F22)</f>
        <v>15575.57</v>
      </c>
      <c r="G23" s="31">
        <f t="shared" ref="G23" si="36">SUM(G18:G22)</f>
        <v>3228.81</v>
      </c>
      <c r="H23" s="31">
        <f t="shared" ref="H23" si="37">SUM(H18:H22)</f>
        <v>18665.27</v>
      </c>
      <c r="I23" s="31">
        <f t="shared" ref="I23" si="38">SUM(I18:I22)</f>
        <v>49978.899999999994</v>
      </c>
      <c r="J23" s="31">
        <f t="shared" ref="J23" si="39">SUM(J18:J22)</f>
        <v>18875.400000000001</v>
      </c>
      <c r="K23" s="31">
        <f t="shared" ref="K23" si="40">SUM(K18:K22)</f>
        <v>26405.68</v>
      </c>
      <c r="L23" s="31">
        <f t="shared" ref="L23" si="41">SUM(L18:L22)</f>
        <v>73053</v>
      </c>
      <c r="M23" s="31">
        <f t="shared" ref="M23" si="42">SUM(M18:M22)</f>
        <v>27119.269999999997</v>
      </c>
      <c r="N23" s="31">
        <f t="shared" ref="N23" si="43">SUM(N18:N22)</f>
        <v>27708.420000000002</v>
      </c>
      <c r="O23" s="31">
        <f t="shared" ref="O23" si="44">SUM(O18:O22)</f>
        <v>63555.389999999992</v>
      </c>
      <c r="P23" s="31">
        <f t="shared" ref="P23" si="45">SUM(P18:P22)</f>
        <v>36669.730000000003</v>
      </c>
      <c r="Q23" s="31">
        <f t="shared" ref="Q23" si="46">SUM(Q18:Q22)</f>
        <v>77716.36</v>
      </c>
      <c r="R23" s="31">
        <f t="shared" ref="R23" si="47">SUM(R18:R22)</f>
        <v>13459.61</v>
      </c>
      <c r="S23" s="31">
        <f t="shared" ref="S23" si="48">SUM(S18:S22)</f>
        <v>56977.94</v>
      </c>
      <c r="T23" s="31">
        <f t="shared" ref="T23" si="49">SUM(T18:T22)</f>
        <v>31338.47</v>
      </c>
      <c r="U23" s="31">
        <f t="shared" ref="U23" si="50">SUM(U18:U22)</f>
        <v>64290.270000000004</v>
      </c>
      <c r="V23" s="31">
        <f t="shared" ref="V23" si="51">SUM(V18:V22)</f>
        <v>11177.66</v>
      </c>
      <c r="W23" s="31">
        <f t="shared" ref="W23" si="52">SUM(W18:W22)</f>
        <v>54688.130000000005</v>
      </c>
      <c r="X23" s="31">
        <f t="shared" ref="X23" si="53">SUM(X18:X22)</f>
        <v>31717.060000000005</v>
      </c>
      <c r="Y23" s="31">
        <f t="shared" ref="Y23" si="54">SUM(Y18:Y22)</f>
        <v>59237.91</v>
      </c>
      <c r="Z23" s="31">
        <f t="shared" ref="Z23" si="55">SUM(Z18:Z22)</f>
        <v>43495.21</v>
      </c>
      <c r="AA23" s="31">
        <f t="shared" ref="AA23" si="56">SUM(AA18:AA22)</f>
        <v>95974.74</v>
      </c>
      <c r="AB23" s="31">
        <f t="shared" ref="AB23" si="57">SUM(AB18:AB22)</f>
        <v>49327.479999999996</v>
      </c>
      <c r="AC23" s="31">
        <f t="shared" ref="AC23" si="58">SUM(AC18:AC22)</f>
        <v>96039.71</v>
      </c>
      <c r="AD23" s="31">
        <f t="shared" ref="AD23" si="59">SUM(AD18:AD22)</f>
        <v>16408.16</v>
      </c>
      <c r="AE23" s="31">
        <f t="shared" ref="AE23" si="60">SUM(AE18:AE22)</f>
        <v>19109.050000000003</v>
      </c>
      <c r="AF23" s="31">
        <f t="shared" ref="AF23" si="61">SUM(AF18:AF22)</f>
        <v>145000.15</v>
      </c>
      <c r="AG23" s="31">
        <f t="shared" ref="AG23" si="62">SUM(AG18:AG22)</f>
        <v>21764.859999999997</v>
      </c>
    </row>
    <row r="25" spans="1:33" ht="15" customHeight="1" x14ac:dyDescent="0.3">
      <c r="A25" s="14" t="s">
        <v>6</v>
      </c>
      <c r="B25" s="27">
        <v>46113</v>
      </c>
      <c r="C25" s="28">
        <v>46113</v>
      </c>
      <c r="D25" s="28">
        <f>C25+1</f>
        <v>46114</v>
      </c>
      <c r="E25" s="28">
        <f>D25+1</f>
        <v>46115</v>
      </c>
      <c r="F25" s="28">
        <f>E25+1</f>
        <v>46116</v>
      </c>
      <c r="G25" s="28">
        <f>F25+1</f>
        <v>46117</v>
      </c>
      <c r="H25" s="28">
        <f>G25+1</f>
        <v>46118</v>
      </c>
      <c r="I25" s="28">
        <f>H25+1</f>
        <v>46119</v>
      </c>
      <c r="J25" s="28">
        <f>I25+1</f>
        <v>46120</v>
      </c>
      <c r="K25" s="28">
        <f>J25+1</f>
        <v>46121</v>
      </c>
      <c r="L25" s="28">
        <f>K25+1</f>
        <v>46122</v>
      </c>
      <c r="M25" s="28">
        <f>L25+1</f>
        <v>46123</v>
      </c>
      <c r="N25" s="28">
        <f>M25+1</f>
        <v>46124</v>
      </c>
      <c r="O25" s="28">
        <f>N25+1</f>
        <v>46125</v>
      </c>
      <c r="P25" s="28">
        <f>O25+1</f>
        <v>46126</v>
      </c>
      <c r="Q25" s="28">
        <f>P25+1</f>
        <v>46127</v>
      </c>
      <c r="R25" s="28">
        <f>Q25+1</f>
        <v>46128</v>
      </c>
      <c r="S25" s="28">
        <f>R25+1</f>
        <v>46129</v>
      </c>
      <c r="T25" s="28">
        <f>S25+1</f>
        <v>46130</v>
      </c>
      <c r="U25" s="28">
        <f>T25+1</f>
        <v>46131</v>
      </c>
      <c r="V25" s="28">
        <f>U25+1</f>
        <v>46132</v>
      </c>
      <c r="W25" s="28">
        <f>V25+1</f>
        <v>46133</v>
      </c>
      <c r="X25" s="28">
        <f>W25+1</f>
        <v>46134</v>
      </c>
      <c r="Y25" s="28">
        <f>X25+1</f>
        <v>46135</v>
      </c>
      <c r="Z25" s="28">
        <f>Y25+1</f>
        <v>46136</v>
      </c>
      <c r="AA25" s="28">
        <f>Z25+1</f>
        <v>46137</v>
      </c>
      <c r="AB25" s="28">
        <f>AA25+1</f>
        <v>46138</v>
      </c>
      <c r="AC25" s="28">
        <f>AB25+1</f>
        <v>46139</v>
      </c>
      <c r="AD25" s="28">
        <f>AC25+1</f>
        <v>46140</v>
      </c>
      <c r="AE25" s="28">
        <f>AD25+1</f>
        <v>46141</v>
      </c>
      <c r="AF25" s="28">
        <f>AE25+1</f>
        <v>46142</v>
      </c>
      <c r="AG25" s="33"/>
    </row>
    <row r="26" spans="1:33" ht="15" customHeight="1" x14ac:dyDescent="0.25">
      <c r="A26" s="30" t="s">
        <v>9</v>
      </c>
      <c r="B26" s="31">
        <f>SUM(C26:AG26)</f>
        <v>86704.879999999976</v>
      </c>
      <c r="C26" s="32">
        <f>SUMIFS(ecommerce_sales_1000_records!$E:E,ecommerce_sales_1000_records!$G:G,C$25,ecommerce_sales_1000_records!$C:C,MTD!$A26)</f>
        <v>1855.6</v>
      </c>
      <c r="D26" s="32">
        <f>SUMIFS(ecommerce_sales_1000_records!$E:F,ecommerce_sales_1000_records!$G:H,D$25,ecommerce_sales_1000_records!$C:D,MTD!$A26)</f>
        <v>8181.33</v>
      </c>
      <c r="E26" s="32">
        <f>SUMIFS(ecommerce_sales_1000_records!$E:G,ecommerce_sales_1000_records!$G:I,E$25,ecommerce_sales_1000_records!$C:E,MTD!$A26)</f>
        <v>0</v>
      </c>
      <c r="F26" s="32">
        <f>SUMIFS(ecommerce_sales_1000_records!$E:H,ecommerce_sales_1000_records!$G:J,F$25,ecommerce_sales_1000_records!$C:F,MTD!$A26)</f>
        <v>5315.43</v>
      </c>
      <c r="G26" s="32">
        <f>SUMIFS(ecommerce_sales_1000_records!$E:I,ecommerce_sales_1000_records!$G:K,G$25,ecommerce_sales_1000_records!$C:G,MTD!$A26)</f>
        <v>0</v>
      </c>
      <c r="H26" s="32">
        <f>SUMIFS(ecommerce_sales_1000_records!$E:J,ecommerce_sales_1000_records!$G:L,H$25,ecommerce_sales_1000_records!$C:H,MTD!$A26)</f>
        <v>0</v>
      </c>
      <c r="I26" s="32">
        <f>SUMIFS(ecommerce_sales_1000_records!$E:K,ecommerce_sales_1000_records!$G:M,I$25,ecommerce_sales_1000_records!$C:I,MTD!$A26)</f>
        <v>0</v>
      </c>
      <c r="J26" s="32">
        <f>SUMIFS(ecommerce_sales_1000_records!$E:L,ecommerce_sales_1000_records!$G:N,J$25,ecommerce_sales_1000_records!$C:J,MTD!$A26)</f>
        <v>1817.41</v>
      </c>
      <c r="K26" s="32">
        <f>SUMIFS(ecommerce_sales_1000_records!$E:M,ecommerce_sales_1000_records!$G:O,K$25,ecommerce_sales_1000_records!$C:K,MTD!$A26)</f>
        <v>6769.4400000000005</v>
      </c>
      <c r="L26" s="32">
        <f>SUMIFS(ecommerce_sales_1000_records!$E:N,ecommerce_sales_1000_records!$G:P,L$25,ecommerce_sales_1000_records!$C:L,MTD!$A26)</f>
        <v>14488.74</v>
      </c>
      <c r="M26" s="32">
        <f>SUMIFS(ecommerce_sales_1000_records!$E:O,ecommerce_sales_1000_records!$G:Q,M$25,ecommerce_sales_1000_records!$C:M,MTD!$A26)</f>
        <v>3325.48</v>
      </c>
      <c r="N26" s="32">
        <f>SUMIFS(ecommerce_sales_1000_records!$E:P,ecommerce_sales_1000_records!$G:R,N$25,ecommerce_sales_1000_records!$C:N,MTD!$A26)</f>
        <v>12258.350000000002</v>
      </c>
      <c r="O26" s="32">
        <f>SUMIFS(ecommerce_sales_1000_records!$E:Q,ecommerce_sales_1000_records!$G:S,O$25,ecommerce_sales_1000_records!$C:O,MTD!$A26)</f>
        <v>0</v>
      </c>
      <c r="P26" s="32">
        <f>SUMIFS(ecommerce_sales_1000_records!$E:R,ecommerce_sales_1000_records!$G:T,P$25,ecommerce_sales_1000_records!$C:P,MTD!$A26)</f>
        <v>5381.38</v>
      </c>
      <c r="Q26" s="32">
        <f>SUMIFS(ecommerce_sales_1000_records!$E:S,ecommerce_sales_1000_records!$G:U,Q$25,ecommerce_sales_1000_records!$C:Q,MTD!$A26)</f>
        <v>0</v>
      </c>
      <c r="R26" s="32">
        <f>SUMIFS(ecommerce_sales_1000_records!$E:T,ecommerce_sales_1000_records!$G:V,R$25,ecommerce_sales_1000_records!$C:R,MTD!$A26)</f>
        <v>0</v>
      </c>
      <c r="S26" s="32">
        <f>SUMIFS(ecommerce_sales_1000_records!$E:U,ecommerce_sales_1000_records!$G:W,S$25,ecommerce_sales_1000_records!$C:S,MTD!$A26)</f>
        <v>0</v>
      </c>
      <c r="T26" s="32">
        <f>SUMIFS(ecommerce_sales_1000_records!$E:V,ecommerce_sales_1000_records!$G:X,T$25,ecommerce_sales_1000_records!$C:T,MTD!$A26)</f>
        <v>0</v>
      </c>
      <c r="U26" s="32">
        <f>SUMIFS(ecommerce_sales_1000_records!$E:W,ecommerce_sales_1000_records!$G:Y,U$25,ecommerce_sales_1000_records!$C:U,MTD!$A26)</f>
        <v>1941.36</v>
      </c>
      <c r="V26" s="32">
        <f>SUMIFS(ecommerce_sales_1000_records!$E:X,ecommerce_sales_1000_records!$G:Z,V$25,ecommerce_sales_1000_records!$C:V,MTD!$A26)</f>
        <v>5224.9399999999996</v>
      </c>
      <c r="W26" s="32">
        <f>SUMIFS(ecommerce_sales_1000_records!$E:Y,ecommerce_sales_1000_records!$G:AA,W$25,ecommerce_sales_1000_records!$C:W,MTD!$A26)</f>
        <v>1879.5</v>
      </c>
      <c r="X26" s="32">
        <f>SUMIFS(ecommerce_sales_1000_records!$E:Z,ecommerce_sales_1000_records!$G:AB,X$25,ecommerce_sales_1000_records!$C:X,MTD!$A26)</f>
        <v>0</v>
      </c>
      <c r="Y26" s="32">
        <f>SUMIFS(ecommerce_sales_1000_records!$E:AA,ecommerce_sales_1000_records!$G:AC,Y$25,ecommerce_sales_1000_records!$C:Y,MTD!$A26)</f>
        <v>1634.09</v>
      </c>
      <c r="Z26" s="32">
        <f>SUMIFS(ecommerce_sales_1000_records!$E:AB,ecommerce_sales_1000_records!$G:AD,Z$25,ecommerce_sales_1000_records!$C:Z,MTD!$A26)</f>
        <v>0</v>
      </c>
      <c r="AA26" s="32">
        <f>SUMIFS(ecommerce_sales_1000_records!$E:AC,ecommerce_sales_1000_records!$G:AE,AA$25,ecommerce_sales_1000_records!$C:AA,MTD!$A26)</f>
        <v>1936.04</v>
      </c>
      <c r="AB26" s="32">
        <f>SUMIFS(ecommerce_sales_1000_records!$E:AD,ecommerce_sales_1000_records!$G:AF,AB$25,ecommerce_sales_1000_records!$C:AB,MTD!$A26)</f>
        <v>9972.0299999999988</v>
      </c>
      <c r="AC26" s="32">
        <f>SUMIFS(ecommerce_sales_1000_records!$E:AE,ecommerce_sales_1000_records!$G:AG,AC$25,ecommerce_sales_1000_records!$C:AC,MTD!$A26)</f>
        <v>0</v>
      </c>
      <c r="AD26" s="32">
        <f>SUMIFS(ecommerce_sales_1000_records!$E:AF,ecommerce_sales_1000_records!$G:AH,AD$25,ecommerce_sales_1000_records!$C:AD,MTD!$A26)</f>
        <v>0</v>
      </c>
      <c r="AE26" s="32">
        <f>SUMIFS(ecommerce_sales_1000_records!$E:AG,ecommerce_sales_1000_records!$G:AI,AE$25,ecommerce_sales_1000_records!$C:AE,MTD!$A26)</f>
        <v>4723.76</v>
      </c>
      <c r="AF26" s="32">
        <f>SUMIFS(ecommerce_sales_1000_records!$E:AH,ecommerce_sales_1000_records!$G:AJ,AF$25,ecommerce_sales_1000_records!$C:AF,MTD!$A26)</f>
        <v>0</v>
      </c>
      <c r="AG26" s="32"/>
    </row>
    <row r="27" spans="1:33" ht="15" customHeight="1" x14ac:dyDescent="0.25">
      <c r="A27" s="30" t="s">
        <v>13</v>
      </c>
      <c r="B27" s="31">
        <f t="shared" ref="B27:B30" si="63">SUM(C27:AG27)</f>
        <v>1222701.75</v>
      </c>
      <c r="C27" s="32">
        <f>SUMIFS(ecommerce_sales_1000_records!$E:E,ecommerce_sales_1000_records!$G:G,C$25,ecommerce_sales_1000_records!$C:C,MTD!$A27)</f>
        <v>57015.34</v>
      </c>
      <c r="D27" s="32">
        <f>SUMIFS(ecommerce_sales_1000_records!$E:F,ecommerce_sales_1000_records!$G:H,D$25,ecommerce_sales_1000_records!$C:D,MTD!$A27)</f>
        <v>61767.71</v>
      </c>
      <c r="E27" s="32">
        <f>SUMIFS(ecommerce_sales_1000_records!$E:G,ecommerce_sales_1000_records!$G:I,E$25,ecommerce_sales_1000_records!$C:E,MTD!$A27)</f>
        <v>2083.84</v>
      </c>
      <c r="F27" s="32">
        <f>SUMIFS(ecommerce_sales_1000_records!$E:H,ecommerce_sales_1000_records!$G:J,F$25,ecommerce_sales_1000_records!$C:F,MTD!$A27)</f>
        <v>52190.07</v>
      </c>
      <c r="G27" s="32">
        <f>SUMIFS(ecommerce_sales_1000_records!$E:I,ecommerce_sales_1000_records!$G:K,G$25,ecommerce_sales_1000_records!$C:G,MTD!$A27)</f>
        <v>30662.1</v>
      </c>
      <c r="H27" s="32">
        <f>SUMIFS(ecommerce_sales_1000_records!$E:J,ecommerce_sales_1000_records!$G:L,H$25,ecommerce_sales_1000_records!$C:H,MTD!$A27)</f>
        <v>20320.77</v>
      </c>
      <c r="I27" s="32">
        <f>SUMIFS(ecommerce_sales_1000_records!$E:K,ecommerce_sales_1000_records!$G:M,I$25,ecommerce_sales_1000_records!$C:I,MTD!$A27)</f>
        <v>2258.2600000000002</v>
      </c>
      <c r="J27" s="32">
        <f>SUMIFS(ecommerce_sales_1000_records!$E:L,ecommerce_sales_1000_records!$G:N,J$25,ecommerce_sales_1000_records!$C:J,MTD!$A27)</f>
        <v>3175.5</v>
      </c>
      <c r="K27" s="32">
        <f>SUMIFS(ecommerce_sales_1000_records!$E:M,ecommerce_sales_1000_records!$G:O,K$25,ecommerce_sales_1000_records!$C:K,MTD!$A27)</f>
        <v>1515.97</v>
      </c>
      <c r="L27" s="32">
        <f>SUMIFS(ecommerce_sales_1000_records!$E:N,ecommerce_sales_1000_records!$G:P,L$25,ecommerce_sales_1000_records!$C:L,MTD!$A27)</f>
        <v>3773.89</v>
      </c>
      <c r="M27" s="32">
        <f>SUMIFS(ecommerce_sales_1000_records!$E:O,ecommerce_sales_1000_records!$G:Q,M$25,ecommerce_sales_1000_records!$C:M,MTD!$A27)</f>
        <v>28835.25</v>
      </c>
      <c r="N27" s="32">
        <f>SUMIFS(ecommerce_sales_1000_records!$E:P,ecommerce_sales_1000_records!$G:R,N$25,ecommerce_sales_1000_records!$C:N,MTD!$A27)</f>
        <v>20897.650000000001</v>
      </c>
      <c r="O27" s="32">
        <f>SUMIFS(ecommerce_sales_1000_records!$E:Q,ecommerce_sales_1000_records!$G:S,O$25,ecommerce_sales_1000_records!$C:O,MTD!$A27)</f>
        <v>0</v>
      </c>
      <c r="P27" s="32">
        <f>SUMIFS(ecommerce_sales_1000_records!$E:R,ecommerce_sales_1000_records!$G:T,P$25,ecommerce_sales_1000_records!$C:P,MTD!$A27)</f>
        <v>28646.880000000001</v>
      </c>
      <c r="Q27" s="32">
        <f>SUMIFS(ecommerce_sales_1000_records!$E:S,ecommerce_sales_1000_records!$G:U,Q$25,ecommerce_sales_1000_records!$C:Q,MTD!$A27)</f>
        <v>0</v>
      </c>
      <c r="R27" s="32">
        <f>SUMIFS(ecommerce_sales_1000_records!$E:T,ecommerce_sales_1000_records!$G:V,R$25,ecommerce_sales_1000_records!$C:R,MTD!$A27)</f>
        <v>130069.42</v>
      </c>
      <c r="S27" s="32">
        <f>SUMIFS(ecommerce_sales_1000_records!$E:U,ecommerce_sales_1000_records!$G:W,S$25,ecommerce_sales_1000_records!$C:S,MTD!$A27)</f>
        <v>16373.65</v>
      </c>
      <c r="T27" s="32">
        <f>SUMIFS(ecommerce_sales_1000_records!$E:V,ecommerce_sales_1000_records!$G:X,T$25,ecommerce_sales_1000_records!$C:T,MTD!$A27)</f>
        <v>114656.37</v>
      </c>
      <c r="U27" s="32">
        <f>SUMIFS(ecommerce_sales_1000_records!$E:W,ecommerce_sales_1000_records!$G:Y,U$25,ecommerce_sales_1000_records!$C:U,MTD!$A27)</f>
        <v>20784.52</v>
      </c>
      <c r="V27" s="32">
        <f>SUMIFS(ecommerce_sales_1000_records!$E:X,ecommerce_sales_1000_records!$G:Z,V$25,ecommerce_sales_1000_records!$C:V,MTD!$A27)</f>
        <v>0</v>
      </c>
      <c r="W27" s="32">
        <f>SUMIFS(ecommerce_sales_1000_records!$E:Y,ecommerce_sales_1000_records!$G:AA,W$25,ecommerce_sales_1000_records!$C:W,MTD!$A27)</f>
        <v>57423.520000000004</v>
      </c>
      <c r="X27" s="32">
        <f>SUMIFS(ecommerce_sales_1000_records!$E:Z,ecommerce_sales_1000_records!$G:AB,X$25,ecommerce_sales_1000_records!$C:X,MTD!$A27)</f>
        <v>17764.43</v>
      </c>
      <c r="Y27" s="32">
        <f>SUMIFS(ecommerce_sales_1000_records!$E:AA,ecommerce_sales_1000_records!$G:AC,Y$25,ecommerce_sales_1000_records!$C:Y,MTD!$A27)</f>
        <v>51561.93</v>
      </c>
      <c r="Z27" s="32">
        <f>SUMIFS(ecommerce_sales_1000_records!$E:AB,ecommerce_sales_1000_records!$G:AD,Z$25,ecommerce_sales_1000_records!$C:Z,MTD!$A27)</f>
        <v>53507.29</v>
      </c>
      <c r="AA27" s="32">
        <f>SUMIFS(ecommerce_sales_1000_records!$E:AC,ecommerce_sales_1000_records!$G:AE,AA$25,ecommerce_sales_1000_records!$C:AA,MTD!$A27)</f>
        <v>146722.01</v>
      </c>
      <c r="AB27" s="32">
        <f>SUMIFS(ecommerce_sales_1000_records!$E:AD,ecommerce_sales_1000_records!$G:AF,AB$25,ecommerce_sales_1000_records!$C:AB,MTD!$A27)</f>
        <v>1411</v>
      </c>
      <c r="AC27" s="32">
        <f>SUMIFS(ecommerce_sales_1000_records!$E:AE,ecommerce_sales_1000_records!$G:AG,AC$25,ecommerce_sales_1000_records!$C:AC,MTD!$A27)</f>
        <v>150065.26999999999</v>
      </c>
      <c r="AD27" s="32">
        <f>SUMIFS(ecommerce_sales_1000_records!$E:AF,ecommerce_sales_1000_records!$G:AH,AD$25,ecommerce_sales_1000_records!$C:AD,MTD!$A27)</f>
        <v>18531.14</v>
      </c>
      <c r="AE27" s="32">
        <f>SUMIFS(ecommerce_sales_1000_records!$E:AG,ecommerce_sales_1000_records!$G:AI,AE$25,ecommerce_sales_1000_records!$C:AE,MTD!$A27)</f>
        <v>55926.890000000007</v>
      </c>
      <c r="AF27" s="32">
        <f>SUMIFS(ecommerce_sales_1000_records!$E:AH,ecommerce_sales_1000_records!$G:AJ,AF$25,ecommerce_sales_1000_records!$C:AF,MTD!$A27)</f>
        <v>74761.08</v>
      </c>
      <c r="AG27" s="32"/>
    </row>
    <row r="28" spans="1:33" ht="15" customHeight="1" x14ac:dyDescent="0.25">
      <c r="A28" s="30" t="s">
        <v>17</v>
      </c>
      <c r="B28" s="31">
        <f t="shared" si="63"/>
        <v>2213.98</v>
      </c>
      <c r="C28" s="32">
        <f>SUMIFS(ecommerce_sales_1000_records!$E:E,ecommerce_sales_1000_records!$G:G,C$25,ecommerce_sales_1000_records!$C:C,MTD!$A28)</f>
        <v>0</v>
      </c>
      <c r="D28" s="32">
        <f>SUMIFS(ecommerce_sales_1000_records!$E:F,ecommerce_sales_1000_records!$G:H,D$25,ecommerce_sales_1000_records!$C:D,MTD!$A28)</f>
        <v>0</v>
      </c>
      <c r="E28" s="32">
        <f>SUMIFS(ecommerce_sales_1000_records!$E:G,ecommerce_sales_1000_records!$G:I,E$25,ecommerce_sales_1000_records!$C:E,MTD!$A28)</f>
        <v>901.52</v>
      </c>
      <c r="F28" s="32">
        <f>SUMIFS(ecommerce_sales_1000_records!$E:H,ecommerce_sales_1000_records!$G:J,F$25,ecommerce_sales_1000_records!$C:F,MTD!$A28)</f>
        <v>0</v>
      </c>
      <c r="G28" s="32">
        <f>SUMIFS(ecommerce_sales_1000_records!$E:I,ecommerce_sales_1000_records!$G:K,G$25,ecommerce_sales_1000_records!$C:G,MTD!$A28)</f>
        <v>0</v>
      </c>
      <c r="H28" s="32">
        <f>SUMIFS(ecommerce_sales_1000_records!$E:J,ecommerce_sales_1000_records!$G:L,H$25,ecommerce_sales_1000_records!$C:H,MTD!$A28)</f>
        <v>0</v>
      </c>
      <c r="I28" s="32">
        <f>SUMIFS(ecommerce_sales_1000_records!$E:K,ecommerce_sales_1000_records!$G:M,I$25,ecommerce_sales_1000_records!$C:I,MTD!$A28)</f>
        <v>0</v>
      </c>
      <c r="J28" s="32">
        <f>SUMIFS(ecommerce_sales_1000_records!$E:L,ecommerce_sales_1000_records!$G:N,J$25,ecommerce_sales_1000_records!$C:J,MTD!$A28)</f>
        <v>0</v>
      </c>
      <c r="K28" s="32">
        <f>SUMIFS(ecommerce_sales_1000_records!$E:M,ecommerce_sales_1000_records!$G:O,K$25,ecommerce_sales_1000_records!$C:K,MTD!$A28)</f>
        <v>0</v>
      </c>
      <c r="L28" s="32">
        <f>SUMIFS(ecommerce_sales_1000_records!$E:N,ecommerce_sales_1000_records!$G:P,L$25,ecommerce_sales_1000_records!$C:L,MTD!$A28)</f>
        <v>0</v>
      </c>
      <c r="M28" s="32">
        <f>SUMIFS(ecommerce_sales_1000_records!$E:O,ecommerce_sales_1000_records!$G:Q,M$25,ecommerce_sales_1000_records!$C:M,MTD!$A28)</f>
        <v>0</v>
      </c>
      <c r="N28" s="32">
        <f>SUMIFS(ecommerce_sales_1000_records!$E:P,ecommerce_sales_1000_records!$G:R,N$25,ecommerce_sales_1000_records!$C:N,MTD!$A28)</f>
        <v>0</v>
      </c>
      <c r="O28" s="32">
        <f>SUMIFS(ecommerce_sales_1000_records!$E:Q,ecommerce_sales_1000_records!$G:S,O$25,ecommerce_sales_1000_records!$C:O,MTD!$A28)</f>
        <v>0</v>
      </c>
      <c r="P28" s="32">
        <f>SUMIFS(ecommerce_sales_1000_records!$E:R,ecommerce_sales_1000_records!$G:T,P$25,ecommerce_sales_1000_records!$C:P,MTD!$A28)</f>
        <v>465.77</v>
      </c>
      <c r="Q28" s="32">
        <f>SUMIFS(ecommerce_sales_1000_records!$E:S,ecommerce_sales_1000_records!$G:U,Q$25,ecommerce_sales_1000_records!$C:Q,MTD!$A28)</f>
        <v>0</v>
      </c>
      <c r="R28" s="32">
        <f>SUMIFS(ecommerce_sales_1000_records!$E:T,ecommerce_sales_1000_records!$G:V,R$25,ecommerce_sales_1000_records!$C:R,MTD!$A28)</f>
        <v>0</v>
      </c>
      <c r="S28" s="32">
        <f>SUMIFS(ecommerce_sales_1000_records!$E:U,ecommerce_sales_1000_records!$G:W,S$25,ecommerce_sales_1000_records!$C:S,MTD!$A28)</f>
        <v>0</v>
      </c>
      <c r="T28" s="32">
        <f>SUMIFS(ecommerce_sales_1000_records!$E:V,ecommerce_sales_1000_records!$G:X,T$25,ecommerce_sales_1000_records!$C:T,MTD!$A28)</f>
        <v>0</v>
      </c>
      <c r="U28" s="32">
        <f>SUMIFS(ecommerce_sales_1000_records!$E:W,ecommerce_sales_1000_records!$G:Y,U$25,ecommerce_sales_1000_records!$C:U,MTD!$A28)</f>
        <v>0</v>
      </c>
      <c r="V28" s="32">
        <f>SUMIFS(ecommerce_sales_1000_records!$E:X,ecommerce_sales_1000_records!$G:Z,V$25,ecommerce_sales_1000_records!$C:V,MTD!$A28)</f>
        <v>420.79</v>
      </c>
      <c r="W28" s="32">
        <f>SUMIFS(ecommerce_sales_1000_records!$E:Y,ecommerce_sales_1000_records!$G:AA,W$25,ecommerce_sales_1000_records!$C:W,MTD!$A28)</f>
        <v>0</v>
      </c>
      <c r="X28" s="32">
        <f>SUMIFS(ecommerce_sales_1000_records!$E:Z,ecommerce_sales_1000_records!$G:AB,X$25,ecommerce_sales_1000_records!$C:X,MTD!$A28)</f>
        <v>0</v>
      </c>
      <c r="Y28" s="32">
        <f>SUMIFS(ecommerce_sales_1000_records!$E:AA,ecommerce_sales_1000_records!$G:AC,Y$25,ecommerce_sales_1000_records!$C:Y,MTD!$A28)</f>
        <v>0</v>
      </c>
      <c r="Z28" s="32">
        <f>SUMIFS(ecommerce_sales_1000_records!$E:AB,ecommerce_sales_1000_records!$G:AD,Z$25,ecommerce_sales_1000_records!$C:Z,MTD!$A28)</f>
        <v>0</v>
      </c>
      <c r="AA28" s="32">
        <f>SUMIFS(ecommerce_sales_1000_records!$E:AC,ecommerce_sales_1000_records!$G:AE,AA$25,ecommerce_sales_1000_records!$C:AA,MTD!$A28)</f>
        <v>0</v>
      </c>
      <c r="AB28" s="32">
        <f>SUMIFS(ecommerce_sales_1000_records!$E:AD,ecommerce_sales_1000_records!$G:AF,AB$25,ecommerce_sales_1000_records!$C:AB,MTD!$A28)</f>
        <v>0</v>
      </c>
      <c r="AC28" s="32">
        <f>SUMIFS(ecommerce_sales_1000_records!$E:AE,ecommerce_sales_1000_records!$G:AG,AC$25,ecommerce_sales_1000_records!$C:AC,MTD!$A28)</f>
        <v>0</v>
      </c>
      <c r="AD28" s="32">
        <f>SUMIFS(ecommerce_sales_1000_records!$E:AF,ecommerce_sales_1000_records!$G:AH,AD$25,ecommerce_sales_1000_records!$C:AD,MTD!$A28)</f>
        <v>425.9</v>
      </c>
      <c r="AE28" s="32">
        <f>SUMIFS(ecommerce_sales_1000_records!$E:AG,ecommerce_sales_1000_records!$G:AI,AE$25,ecommerce_sales_1000_records!$C:AE,MTD!$A28)</f>
        <v>0</v>
      </c>
      <c r="AF28" s="32">
        <f>SUMIFS(ecommerce_sales_1000_records!$E:AH,ecommerce_sales_1000_records!$G:AJ,AF$25,ecommerce_sales_1000_records!$C:AF,MTD!$A28)</f>
        <v>0</v>
      </c>
      <c r="AG28" s="32"/>
    </row>
    <row r="29" spans="1:33" ht="15" customHeight="1" x14ac:dyDescent="0.25">
      <c r="A29" s="30" t="s">
        <v>25</v>
      </c>
      <c r="B29" s="31">
        <f t="shared" si="63"/>
        <v>71362.620000000024</v>
      </c>
      <c r="C29" s="32">
        <f>SUMIFS(ecommerce_sales_1000_records!$E:E,ecommerce_sales_1000_records!$G:G,C$25,ecommerce_sales_1000_records!$C:C,MTD!$A29)</f>
        <v>0</v>
      </c>
      <c r="D29" s="32">
        <f>SUMIFS(ecommerce_sales_1000_records!$E:F,ecommerce_sales_1000_records!$G:H,D$25,ecommerce_sales_1000_records!$C:D,MTD!$A29)</f>
        <v>845.33</v>
      </c>
      <c r="E29" s="32">
        <f>SUMIFS(ecommerce_sales_1000_records!$E:G,ecommerce_sales_1000_records!$G:I,E$25,ecommerce_sales_1000_records!$C:E,MTD!$A29)</f>
        <v>0</v>
      </c>
      <c r="F29" s="32">
        <f>SUMIFS(ecommerce_sales_1000_records!$E:H,ecommerce_sales_1000_records!$G:J,F$25,ecommerce_sales_1000_records!$C:F,MTD!$A29)</f>
        <v>2073.71</v>
      </c>
      <c r="G29" s="32">
        <f>SUMIFS(ecommerce_sales_1000_records!$E:I,ecommerce_sales_1000_records!$G:K,G$25,ecommerce_sales_1000_records!$C:G,MTD!$A29)</f>
        <v>0</v>
      </c>
      <c r="H29" s="32">
        <f>SUMIFS(ecommerce_sales_1000_records!$E:J,ecommerce_sales_1000_records!$G:L,H$25,ecommerce_sales_1000_records!$C:H,MTD!$A29)</f>
        <v>3258.52</v>
      </c>
      <c r="I29" s="32">
        <f>SUMIFS(ecommerce_sales_1000_records!$E:K,ecommerce_sales_1000_records!$G:M,I$25,ecommerce_sales_1000_records!$C:I,MTD!$A29)</f>
        <v>0</v>
      </c>
      <c r="J29" s="32">
        <f>SUMIFS(ecommerce_sales_1000_records!$E:L,ecommerce_sales_1000_records!$G:N,J$25,ecommerce_sales_1000_records!$C:J,MTD!$A29)</f>
        <v>8960.880000000001</v>
      </c>
      <c r="K29" s="32">
        <f>SUMIFS(ecommerce_sales_1000_records!$E:M,ecommerce_sales_1000_records!$G:O,K$25,ecommerce_sales_1000_records!$C:K,MTD!$A29)</f>
        <v>3455.75</v>
      </c>
      <c r="L29" s="32">
        <f>SUMIFS(ecommerce_sales_1000_records!$E:N,ecommerce_sales_1000_records!$G:P,L$25,ecommerce_sales_1000_records!$C:L,MTD!$A29)</f>
        <v>809.22</v>
      </c>
      <c r="M29" s="32">
        <f>SUMIFS(ecommerce_sales_1000_records!$E:O,ecommerce_sales_1000_records!$G:Q,M$25,ecommerce_sales_1000_records!$C:M,MTD!$A29)</f>
        <v>750.41</v>
      </c>
      <c r="N29" s="32">
        <f>SUMIFS(ecommerce_sales_1000_records!$E:P,ecommerce_sales_1000_records!$G:R,N$25,ecommerce_sales_1000_records!$C:N,MTD!$A29)</f>
        <v>0</v>
      </c>
      <c r="O29" s="32">
        <f>SUMIFS(ecommerce_sales_1000_records!$E:Q,ecommerce_sales_1000_records!$G:S,O$25,ecommerce_sales_1000_records!$C:O,MTD!$A29)</f>
        <v>5067.55</v>
      </c>
      <c r="P29" s="32">
        <f>SUMIFS(ecommerce_sales_1000_records!$E:R,ecommerce_sales_1000_records!$G:T,P$25,ecommerce_sales_1000_records!$C:P,MTD!$A29)</f>
        <v>1825.33</v>
      </c>
      <c r="Q29" s="32">
        <f>SUMIFS(ecommerce_sales_1000_records!$E:S,ecommerce_sales_1000_records!$G:U,Q$25,ecommerce_sales_1000_records!$C:Q,MTD!$A29)</f>
        <v>0</v>
      </c>
      <c r="R29" s="32">
        <f>SUMIFS(ecommerce_sales_1000_records!$E:T,ecommerce_sales_1000_records!$G:V,R$25,ecommerce_sales_1000_records!$C:R,MTD!$A29)</f>
        <v>7030.7900000000009</v>
      </c>
      <c r="S29" s="32">
        <f>SUMIFS(ecommerce_sales_1000_records!$E:U,ecommerce_sales_1000_records!$G:W,S$25,ecommerce_sales_1000_records!$C:S,MTD!$A29)</f>
        <v>2756.0099999999998</v>
      </c>
      <c r="T29" s="32">
        <f>SUMIFS(ecommerce_sales_1000_records!$E:V,ecommerce_sales_1000_records!$G:X,T$25,ecommerce_sales_1000_records!$C:T,MTD!$A29)</f>
        <v>2442.44</v>
      </c>
      <c r="U29" s="32">
        <f>SUMIFS(ecommerce_sales_1000_records!$E:W,ecommerce_sales_1000_records!$G:Y,U$25,ecommerce_sales_1000_records!$C:U,MTD!$A29)</f>
        <v>2063.44</v>
      </c>
      <c r="V29" s="32">
        <f>SUMIFS(ecommerce_sales_1000_records!$E:X,ecommerce_sales_1000_records!$G:Z,V$25,ecommerce_sales_1000_records!$C:V,MTD!$A29)</f>
        <v>2555.3000000000002</v>
      </c>
      <c r="W29" s="32">
        <f>SUMIFS(ecommerce_sales_1000_records!$E:Y,ecommerce_sales_1000_records!$G:AA,W$25,ecommerce_sales_1000_records!$C:W,MTD!$A29)</f>
        <v>2870.9</v>
      </c>
      <c r="X29" s="32">
        <f>SUMIFS(ecommerce_sales_1000_records!$E:Z,ecommerce_sales_1000_records!$G:AB,X$25,ecommerce_sales_1000_records!$C:X,MTD!$A29)</f>
        <v>2108.8000000000002</v>
      </c>
      <c r="Y29" s="32">
        <f>SUMIFS(ecommerce_sales_1000_records!$E:AA,ecommerce_sales_1000_records!$G:AC,Y$25,ecommerce_sales_1000_records!$C:Y,MTD!$A29)</f>
        <v>4535.51</v>
      </c>
      <c r="Z29" s="32">
        <f>SUMIFS(ecommerce_sales_1000_records!$E:AB,ecommerce_sales_1000_records!$G:AD,Z$25,ecommerce_sales_1000_records!$C:Z,MTD!$A29)</f>
        <v>0</v>
      </c>
      <c r="AA29" s="32">
        <f>SUMIFS(ecommerce_sales_1000_records!$E:AC,ecommerce_sales_1000_records!$G:AE,AA$25,ecommerce_sales_1000_records!$C:AA,MTD!$A29)</f>
        <v>0</v>
      </c>
      <c r="AB29" s="32">
        <f>SUMIFS(ecommerce_sales_1000_records!$E:AD,ecommerce_sales_1000_records!$G:AF,AB$25,ecommerce_sales_1000_records!$C:AB,MTD!$A29)</f>
        <v>6243.2599999999993</v>
      </c>
      <c r="AC29" s="32">
        <f>SUMIFS(ecommerce_sales_1000_records!$E:AE,ecommerce_sales_1000_records!$G:AG,AC$25,ecommerce_sales_1000_records!$C:AC,MTD!$A29)</f>
        <v>0</v>
      </c>
      <c r="AD29" s="32">
        <f>SUMIFS(ecommerce_sales_1000_records!$E:AF,ecommerce_sales_1000_records!$G:AH,AD$25,ecommerce_sales_1000_records!$C:AD,MTD!$A29)</f>
        <v>7528.0000000000009</v>
      </c>
      <c r="AE29" s="32">
        <f>SUMIFS(ecommerce_sales_1000_records!$E:AG,ecommerce_sales_1000_records!$G:AI,AE$25,ecommerce_sales_1000_records!$C:AE,MTD!$A29)</f>
        <v>2139.83</v>
      </c>
      <c r="AF29" s="32">
        <f>SUMIFS(ecommerce_sales_1000_records!$E:AH,ecommerce_sales_1000_records!$G:AJ,AF$25,ecommerce_sales_1000_records!$C:AF,MTD!$A29)</f>
        <v>2041.64</v>
      </c>
      <c r="AG29" s="32"/>
    </row>
    <row r="30" spans="1:33" ht="15" customHeight="1" x14ac:dyDescent="0.25">
      <c r="A30" s="30" t="s">
        <v>39</v>
      </c>
      <c r="B30" s="31">
        <f t="shared" si="63"/>
        <v>178787.70999999996</v>
      </c>
      <c r="C30" s="32">
        <f>SUMIFS(ecommerce_sales_1000_records!$E:E,ecommerce_sales_1000_records!$G:G,C$25,ecommerce_sales_1000_records!$C:C,MTD!$A30)</f>
        <v>8209.58</v>
      </c>
      <c r="D30" s="32">
        <f>SUMIFS(ecommerce_sales_1000_records!$E:F,ecommerce_sales_1000_records!$G:H,D$25,ecommerce_sales_1000_records!$C:D,MTD!$A30)</f>
        <v>0</v>
      </c>
      <c r="E30" s="32">
        <f>SUMIFS(ecommerce_sales_1000_records!$E:G,ecommerce_sales_1000_records!$G:I,E$25,ecommerce_sales_1000_records!$C:E,MTD!$A30)</f>
        <v>0</v>
      </c>
      <c r="F30" s="32">
        <f>SUMIFS(ecommerce_sales_1000_records!$E:H,ecommerce_sales_1000_records!$G:J,F$25,ecommerce_sales_1000_records!$C:F,MTD!$A30)</f>
        <v>0</v>
      </c>
      <c r="G30" s="32">
        <f>SUMIFS(ecommerce_sales_1000_records!$E:I,ecommerce_sales_1000_records!$G:K,G$25,ecommerce_sales_1000_records!$C:G,MTD!$A30)</f>
        <v>4359.84</v>
      </c>
      <c r="H30" s="32">
        <f>SUMIFS(ecommerce_sales_1000_records!$E:J,ecommerce_sales_1000_records!$G:L,H$25,ecommerce_sales_1000_records!$C:H,MTD!$A30)</f>
        <v>11261.11</v>
      </c>
      <c r="I30" s="32">
        <f>SUMIFS(ecommerce_sales_1000_records!$E:K,ecommerce_sales_1000_records!$G:M,I$25,ecommerce_sales_1000_records!$C:I,MTD!$A30)</f>
        <v>3382.71</v>
      </c>
      <c r="J30" s="32">
        <f>SUMIFS(ecommerce_sales_1000_records!$E:L,ecommerce_sales_1000_records!$G:N,J$25,ecommerce_sales_1000_records!$C:J,MTD!$A30)</f>
        <v>6086.25</v>
      </c>
      <c r="K30" s="32">
        <f>SUMIFS(ecommerce_sales_1000_records!$E:M,ecommerce_sales_1000_records!$G:O,K$25,ecommerce_sales_1000_records!$C:K,MTD!$A30)</f>
        <v>4281.42</v>
      </c>
      <c r="L30" s="32">
        <f>SUMIFS(ecommerce_sales_1000_records!$E:N,ecommerce_sales_1000_records!$G:P,L$25,ecommerce_sales_1000_records!$C:L,MTD!$A30)</f>
        <v>3213.8</v>
      </c>
      <c r="M30" s="32">
        <f>SUMIFS(ecommerce_sales_1000_records!$E:O,ecommerce_sales_1000_records!$G:Q,M$25,ecommerce_sales_1000_records!$C:M,MTD!$A30)</f>
        <v>3498.16</v>
      </c>
      <c r="N30" s="32">
        <f>SUMIFS(ecommerce_sales_1000_records!$E:P,ecommerce_sales_1000_records!$G:R,N$25,ecommerce_sales_1000_records!$C:N,MTD!$A30)</f>
        <v>0</v>
      </c>
      <c r="O30" s="32">
        <f>SUMIFS(ecommerce_sales_1000_records!$E:Q,ecommerce_sales_1000_records!$G:S,O$25,ecommerce_sales_1000_records!$C:O,MTD!$A30)</f>
        <v>9437.98</v>
      </c>
      <c r="P30" s="32">
        <f>SUMIFS(ecommerce_sales_1000_records!$E:R,ecommerce_sales_1000_records!$G:T,P$25,ecommerce_sales_1000_records!$C:P,MTD!$A30)</f>
        <v>10192.029999999999</v>
      </c>
      <c r="Q30" s="32">
        <f>SUMIFS(ecommerce_sales_1000_records!$E:S,ecommerce_sales_1000_records!$G:U,Q$25,ecommerce_sales_1000_records!$C:Q,MTD!$A30)</f>
        <v>3731.9</v>
      </c>
      <c r="R30" s="32">
        <f>SUMIFS(ecommerce_sales_1000_records!$E:T,ecommerce_sales_1000_records!$G:V,R$25,ecommerce_sales_1000_records!$C:R,MTD!$A30)</f>
        <v>7119.07</v>
      </c>
      <c r="S30" s="32">
        <f>SUMIFS(ecommerce_sales_1000_records!$E:U,ecommerce_sales_1000_records!$G:W,S$25,ecommerce_sales_1000_records!$C:S,MTD!$A30)</f>
        <v>9818.83</v>
      </c>
      <c r="T30" s="32">
        <f>SUMIFS(ecommerce_sales_1000_records!$E:V,ecommerce_sales_1000_records!$G:X,T$25,ecommerce_sales_1000_records!$C:T,MTD!$A30)</f>
        <v>3735</v>
      </c>
      <c r="U30" s="32">
        <f>SUMIFS(ecommerce_sales_1000_records!$E:W,ecommerce_sales_1000_records!$G:Y,U$25,ecommerce_sales_1000_records!$C:U,MTD!$A30)</f>
        <v>0</v>
      </c>
      <c r="V30" s="32">
        <f>SUMIFS(ecommerce_sales_1000_records!$E:X,ecommerce_sales_1000_records!$G:Z,V$25,ecommerce_sales_1000_records!$C:V,MTD!$A30)</f>
        <v>9676.43</v>
      </c>
      <c r="W30" s="32">
        <f>SUMIFS(ecommerce_sales_1000_records!$E:Y,ecommerce_sales_1000_records!$G:AA,W$25,ecommerce_sales_1000_records!$C:W,MTD!$A30)</f>
        <v>4035.25</v>
      </c>
      <c r="X30" s="32">
        <f>SUMIFS(ecommerce_sales_1000_records!$E:Z,ecommerce_sales_1000_records!$G:AB,X$25,ecommerce_sales_1000_records!$C:X,MTD!$A30)</f>
        <v>3567.46</v>
      </c>
      <c r="Y30" s="32">
        <f>SUMIFS(ecommerce_sales_1000_records!$E:AA,ecommerce_sales_1000_records!$G:AC,Y$25,ecommerce_sales_1000_records!$C:Y,MTD!$A30)</f>
        <v>20744.52</v>
      </c>
      <c r="Z30" s="32">
        <f>SUMIFS(ecommerce_sales_1000_records!$E:AB,ecommerce_sales_1000_records!$G:AD,Z$25,ecommerce_sales_1000_records!$C:Z,MTD!$A30)</f>
        <v>3629.29</v>
      </c>
      <c r="AA30" s="32">
        <f>SUMIFS(ecommerce_sales_1000_records!$E:AC,ecommerce_sales_1000_records!$G:AE,AA$25,ecommerce_sales_1000_records!$C:AA,MTD!$A30)</f>
        <v>0</v>
      </c>
      <c r="AB30" s="32">
        <f>SUMIFS(ecommerce_sales_1000_records!$E:AD,ecommerce_sales_1000_records!$G:AF,AB$25,ecommerce_sales_1000_records!$C:AB,MTD!$A30)</f>
        <v>22162.53</v>
      </c>
      <c r="AC30" s="32">
        <f>SUMIFS(ecommerce_sales_1000_records!$E:AE,ecommerce_sales_1000_records!$G:AG,AC$25,ecommerce_sales_1000_records!$C:AC,MTD!$A30)</f>
        <v>4363.55</v>
      </c>
      <c r="AD30" s="32">
        <f>SUMIFS(ecommerce_sales_1000_records!$E:AF,ecommerce_sales_1000_records!$G:AH,AD$25,ecommerce_sales_1000_records!$C:AD,MTD!$A30)</f>
        <v>7275.42</v>
      </c>
      <c r="AE30" s="32">
        <f>SUMIFS(ecommerce_sales_1000_records!$E:AG,ecommerce_sales_1000_records!$G:AI,AE$25,ecommerce_sales_1000_records!$C:AE,MTD!$A30)</f>
        <v>6704.96</v>
      </c>
      <c r="AF30" s="32">
        <f>SUMIFS(ecommerce_sales_1000_records!$E:AH,ecommerce_sales_1000_records!$G:AJ,AF$25,ecommerce_sales_1000_records!$C:AF,MTD!$A30)</f>
        <v>8300.6200000000008</v>
      </c>
      <c r="AG30" s="32"/>
    </row>
    <row r="31" spans="1:33" ht="15" customHeight="1" x14ac:dyDescent="0.3">
      <c r="A31" s="14" t="s">
        <v>1038</v>
      </c>
      <c r="B31" s="19">
        <f>SUM(B26:B30)</f>
        <v>1561770.94</v>
      </c>
      <c r="C31" s="31">
        <f t="shared" ref="C31" si="64">SUM(C26:C30)</f>
        <v>67080.51999999999</v>
      </c>
      <c r="D31" s="31">
        <f t="shared" ref="D31" si="65">SUM(D26:D30)</f>
        <v>70794.37</v>
      </c>
      <c r="E31" s="31">
        <f t="shared" ref="E31" si="66">SUM(E26:E30)</f>
        <v>2985.36</v>
      </c>
      <c r="F31" s="31">
        <f t="shared" ref="F31" si="67">SUM(F26:F30)</f>
        <v>59579.21</v>
      </c>
      <c r="G31" s="31">
        <f t="shared" ref="G31" si="68">SUM(G26:G30)</f>
        <v>35021.94</v>
      </c>
      <c r="H31" s="31">
        <f t="shared" ref="H31" si="69">SUM(H26:H30)</f>
        <v>34840.400000000001</v>
      </c>
      <c r="I31" s="31">
        <f t="shared" ref="I31" si="70">SUM(I26:I30)</f>
        <v>5640.97</v>
      </c>
      <c r="J31" s="31">
        <f t="shared" ref="J31" si="71">SUM(J26:J30)</f>
        <v>20040.04</v>
      </c>
      <c r="K31" s="31">
        <f t="shared" ref="K31" si="72">SUM(K26:K30)</f>
        <v>16022.58</v>
      </c>
      <c r="L31" s="31">
        <f t="shared" ref="L31" si="73">SUM(L26:L30)</f>
        <v>22285.65</v>
      </c>
      <c r="M31" s="31">
        <f t="shared" ref="M31" si="74">SUM(M26:M30)</f>
        <v>36409.300000000003</v>
      </c>
      <c r="N31" s="31">
        <f t="shared" ref="N31" si="75">SUM(N26:N30)</f>
        <v>33156</v>
      </c>
      <c r="O31" s="31">
        <f t="shared" ref="O31" si="76">SUM(O26:O30)</f>
        <v>14505.529999999999</v>
      </c>
      <c r="P31" s="31">
        <f t="shared" ref="P31" si="77">SUM(P26:P30)</f>
        <v>46511.39</v>
      </c>
      <c r="Q31" s="31">
        <f t="shared" ref="Q31" si="78">SUM(Q26:Q30)</f>
        <v>3731.9</v>
      </c>
      <c r="R31" s="31">
        <f t="shared" ref="R31" si="79">SUM(R26:R30)</f>
        <v>144219.28</v>
      </c>
      <c r="S31" s="31">
        <f t="shared" ref="S31" si="80">SUM(S26:S30)</f>
        <v>28948.489999999998</v>
      </c>
      <c r="T31" s="31">
        <f t="shared" ref="T31" si="81">SUM(T26:T30)</f>
        <v>120833.81</v>
      </c>
      <c r="U31" s="31">
        <f t="shared" ref="U31" si="82">SUM(U26:U30)</f>
        <v>24789.32</v>
      </c>
      <c r="V31" s="31">
        <f t="shared" ref="V31" si="83">SUM(V26:V30)</f>
        <v>17877.46</v>
      </c>
      <c r="W31" s="31">
        <f t="shared" ref="W31" si="84">SUM(W26:W30)</f>
        <v>66209.170000000013</v>
      </c>
      <c r="X31" s="31">
        <f t="shared" ref="X31" si="85">SUM(X26:X30)</f>
        <v>23440.69</v>
      </c>
      <c r="Y31" s="31">
        <f t="shared" ref="Y31" si="86">SUM(Y26:Y30)</f>
        <v>78476.05</v>
      </c>
      <c r="Z31" s="31">
        <f t="shared" ref="Z31" si="87">SUM(Z26:Z30)</f>
        <v>57136.58</v>
      </c>
      <c r="AA31" s="31">
        <f t="shared" ref="AA31" si="88">SUM(AA26:AA30)</f>
        <v>148658.05000000002</v>
      </c>
      <c r="AB31" s="31">
        <f t="shared" ref="AB31" si="89">SUM(AB26:AB30)</f>
        <v>39788.819999999992</v>
      </c>
      <c r="AC31" s="31">
        <f t="shared" ref="AC31" si="90">SUM(AC26:AC30)</f>
        <v>154428.81999999998</v>
      </c>
      <c r="AD31" s="31">
        <f t="shared" ref="AD31" si="91">SUM(AD26:AD30)</f>
        <v>33760.46</v>
      </c>
      <c r="AE31" s="31">
        <f t="shared" ref="AE31" si="92">SUM(AE26:AE30)</f>
        <v>69495.440000000017</v>
      </c>
      <c r="AF31" s="31">
        <f t="shared" ref="AF31" si="93">SUM(AF26:AF30)</f>
        <v>85103.34</v>
      </c>
      <c r="AG31" s="31"/>
    </row>
    <row r="33" spans="1:33" ht="15" customHeight="1" x14ac:dyDescent="0.3">
      <c r="A33" s="14" t="s">
        <v>6</v>
      </c>
      <c r="B33" s="27">
        <v>46143</v>
      </c>
      <c r="C33" s="28">
        <v>46143</v>
      </c>
      <c r="D33" s="28">
        <f>C33+1</f>
        <v>46144</v>
      </c>
      <c r="E33" s="28">
        <f>D33+1</f>
        <v>46145</v>
      </c>
      <c r="F33" s="28">
        <f>E33+1</f>
        <v>46146</v>
      </c>
      <c r="G33" s="28">
        <f>F33+1</f>
        <v>46147</v>
      </c>
      <c r="H33" s="28">
        <f>G33+1</f>
        <v>46148</v>
      </c>
      <c r="I33" s="28">
        <f>H33+1</f>
        <v>46149</v>
      </c>
      <c r="J33" s="28">
        <f>I33+1</f>
        <v>46150</v>
      </c>
      <c r="K33" s="28">
        <f>J33+1</f>
        <v>46151</v>
      </c>
      <c r="L33" s="28">
        <f>K33+1</f>
        <v>46152</v>
      </c>
      <c r="M33" s="28">
        <f>L33+1</f>
        <v>46153</v>
      </c>
      <c r="N33" s="28">
        <f>M33+1</f>
        <v>46154</v>
      </c>
      <c r="O33" s="28">
        <f>N33+1</f>
        <v>46155</v>
      </c>
      <c r="P33" s="28">
        <f>O33+1</f>
        <v>46156</v>
      </c>
      <c r="Q33" s="28">
        <f>P33+1</f>
        <v>46157</v>
      </c>
      <c r="R33" s="28">
        <f>Q33+1</f>
        <v>46158</v>
      </c>
      <c r="S33" s="28">
        <f>R33+1</f>
        <v>46159</v>
      </c>
      <c r="T33" s="28">
        <f>S33+1</f>
        <v>46160</v>
      </c>
      <c r="U33" s="28">
        <f>T33+1</f>
        <v>46161</v>
      </c>
      <c r="V33" s="28">
        <f>U33+1</f>
        <v>46162</v>
      </c>
      <c r="W33" s="28">
        <f>V33+1</f>
        <v>46163</v>
      </c>
      <c r="X33" s="28">
        <f>W33+1</f>
        <v>46164</v>
      </c>
      <c r="Y33" s="28">
        <f>X33+1</f>
        <v>46165</v>
      </c>
      <c r="Z33" s="28">
        <f>Y33+1</f>
        <v>46166</v>
      </c>
      <c r="AA33" s="28">
        <f>Z33+1</f>
        <v>46167</v>
      </c>
      <c r="AB33" s="28">
        <f>AA33+1</f>
        <v>46168</v>
      </c>
      <c r="AC33" s="28">
        <f>AB33+1</f>
        <v>46169</v>
      </c>
      <c r="AD33" s="28">
        <f>AC33+1</f>
        <v>46170</v>
      </c>
      <c r="AE33" s="28">
        <f>AD33+1</f>
        <v>46171</v>
      </c>
      <c r="AF33" s="28">
        <f>AE33+1</f>
        <v>46172</v>
      </c>
      <c r="AG33" s="28">
        <f>AF33+1</f>
        <v>46173</v>
      </c>
    </row>
    <row r="34" spans="1:33" ht="15" customHeight="1" x14ac:dyDescent="0.25">
      <c r="A34" s="30" t="s">
        <v>9</v>
      </c>
      <c r="B34" s="31">
        <f>SUM(C34:AG34)</f>
        <v>76709.790000000008</v>
      </c>
      <c r="C34" s="32">
        <f>SUMIFS(ecommerce_sales_1000_records!$E:E,ecommerce_sales_1000_records!$G:G,C$33,ecommerce_sales_1000_records!$C:C,MTD!$A34)</f>
        <v>4607.42</v>
      </c>
      <c r="D34" s="32">
        <f>SUMIFS(ecommerce_sales_1000_records!$E:F,ecommerce_sales_1000_records!$G:H,D$33,ecommerce_sales_1000_records!$C:D,MTD!$A34)</f>
        <v>12315.32</v>
      </c>
      <c r="E34" s="32">
        <f>SUMIFS(ecommerce_sales_1000_records!$E:G,ecommerce_sales_1000_records!$G:I,E$33,ecommerce_sales_1000_records!$C:E,MTD!$A34)</f>
        <v>0</v>
      </c>
      <c r="F34" s="32">
        <f>SUMIFS(ecommerce_sales_1000_records!$E:H,ecommerce_sales_1000_records!$G:J,F$33,ecommerce_sales_1000_records!$C:F,MTD!$A34)</f>
        <v>0</v>
      </c>
      <c r="G34" s="32">
        <f>SUMIFS(ecommerce_sales_1000_records!$E:I,ecommerce_sales_1000_records!$G:K,G$33,ecommerce_sales_1000_records!$C:G,MTD!$A34)</f>
        <v>4782.29</v>
      </c>
      <c r="H34" s="32">
        <f>SUMIFS(ecommerce_sales_1000_records!$E:J,ecommerce_sales_1000_records!$G:L,H$33,ecommerce_sales_1000_records!$C:H,MTD!$A34)</f>
        <v>0</v>
      </c>
      <c r="I34" s="32">
        <f>SUMIFS(ecommerce_sales_1000_records!$E:K,ecommerce_sales_1000_records!$G:M,I$33,ecommerce_sales_1000_records!$C:I,MTD!$A34)</f>
        <v>0</v>
      </c>
      <c r="J34" s="32">
        <f>SUMIFS(ecommerce_sales_1000_records!$E:L,ecommerce_sales_1000_records!$G:N,J$33,ecommerce_sales_1000_records!$C:J,MTD!$A34)</f>
        <v>1873.02</v>
      </c>
      <c r="K34" s="32">
        <f>SUMIFS(ecommerce_sales_1000_records!$E:M,ecommerce_sales_1000_records!$G:O,K$33,ecommerce_sales_1000_records!$C:K,MTD!$A34)</f>
        <v>0</v>
      </c>
      <c r="L34" s="32">
        <f>SUMIFS(ecommerce_sales_1000_records!$E:N,ecommerce_sales_1000_records!$G:P,L$33,ecommerce_sales_1000_records!$C:L,MTD!$A34)</f>
        <v>5105.1400000000003</v>
      </c>
      <c r="M34" s="32">
        <f>SUMIFS(ecommerce_sales_1000_records!$E:O,ecommerce_sales_1000_records!$G:Q,M$33,ecommerce_sales_1000_records!$C:M,MTD!$A34)</f>
        <v>1653.64</v>
      </c>
      <c r="N34" s="32">
        <f>SUMIFS(ecommerce_sales_1000_records!$E:P,ecommerce_sales_1000_records!$G:R,N$33,ecommerce_sales_1000_records!$C:N,MTD!$A34)</f>
        <v>0</v>
      </c>
      <c r="O34" s="32">
        <f>SUMIFS(ecommerce_sales_1000_records!$E:Q,ecommerce_sales_1000_records!$G:S,O$33,ecommerce_sales_1000_records!$C:O,MTD!$A34)</f>
        <v>0</v>
      </c>
      <c r="P34" s="32">
        <f>SUMIFS(ecommerce_sales_1000_records!$E:R,ecommerce_sales_1000_records!$G:T,P$33,ecommerce_sales_1000_records!$C:P,MTD!$A34)</f>
        <v>0</v>
      </c>
      <c r="Q34" s="32">
        <f>SUMIFS(ecommerce_sales_1000_records!$E:S,ecommerce_sales_1000_records!$G:U,Q$33,ecommerce_sales_1000_records!$C:Q,MTD!$A34)</f>
        <v>0</v>
      </c>
      <c r="R34" s="32">
        <f>SUMIFS(ecommerce_sales_1000_records!$E:T,ecommerce_sales_1000_records!$G:V,R$33,ecommerce_sales_1000_records!$C:R,MTD!$A34)</f>
        <v>1752.85</v>
      </c>
      <c r="S34" s="32">
        <f>SUMIFS(ecommerce_sales_1000_records!$E:U,ecommerce_sales_1000_records!$G:W,S$33,ecommerce_sales_1000_records!$C:S,MTD!$A34)</f>
        <v>5455.59</v>
      </c>
      <c r="T34" s="32">
        <f>SUMIFS(ecommerce_sales_1000_records!$E:V,ecommerce_sales_1000_records!$G:X,T$33,ecommerce_sales_1000_records!$C:T,MTD!$A34)</f>
        <v>4515.82</v>
      </c>
      <c r="U34" s="32">
        <f>SUMIFS(ecommerce_sales_1000_records!$E:W,ecommerce_sales_1000_records!$G:Y,U$33,ecommerce_sales_1000_records!$C:U,MTD!$A34)</f>
        <v>1650.85</v>
      </c>
      <c r="V34" s="32">
        <f>SUMIFS(ecommerce_sales_1000_records!$E:X,ecommerce_sales_1000_records!$G:Z,V$33,ecommerce_sales_1000_records!$C:V,MTD!$A34)</f>
        <v>5380.69</v>
      </c>
      <c r="W34" s="32">
        <f>SUMIFS(ecommerce_sales_1000_records!$E:Y,ecommerce_sales_1000_records!$G:AA,W$33,ecommerce_sales_1000_records!$C:W,MTD!$A34)</f>
        <v>0</v>
      </c>
      <c r="X34" s="32">
        <f>SUMIFS(ecommerce_sales_1000_records!$E:Z,ecommerce_sales_1000_records!$G:AB,X$33,ecommerce_sales_1000_records!$C:X,MTD!$A34)</f>
        <v>11015.509999999998</v>
      </c>
      <c r="Y34" s="32">
        <f>SUMIFS(ecommerce_sales_1000_records!$E:AA,ecommerce_sales_1000_records!$G:AC,Y$33,ecommerce_sales_1000_records!$C:Y,MTD!$A34)</f>
        <v>0</v>
      </c>
      <c r="Z34" s="32">
        <f>SUMIFS(ecommerce_sales_1000_records!$E:AB,ecommerce_sales_1000_records!$G:AD,Z$33,ecommerce_sales_1000_records!$C:Z,MTD!$A34)</f>
        <v>0</v>
      </c>
      <c r="AA34" s="32">
        <f>SUMIFS(ecommerce_sales_1000_records!$E:AC,ecommerce_sales_1000_records!$G:AE,AA$33,ecommerce_sales_1000_records!$C:AA,MTD!$A34)</f>
        <v>0</v>
      </c>
      <c r="AB34" s="32">
        <f>SUMIFS(ecommerce_sales_1000_records!$E:AD,ecommerce_sales_1000_records!$G:AF,AB$33,ecommerce_sales_1000_records!$C:AB,MTD!$A34)</f>
        <v>0</v>
      </c>
      <c r="AC34" s="32">
        <f>SUMIFS(ecommerce_sales_1000_records!$E:AE,ecommerce_sales_1000_records!$G:AG,AC$33,ecommerce_sales_1000_records!$C:AC,MTD!$A34)</f>
        <v>0</v>
      </c>
      <c r="AD34" s="32">
        <f>SUMIFS(ecommerce_sales_1000_records!$E:AF,ecommerce_sales_1000_records!$G:AH,AD$33,ecommerce_sales_1000_records!$C:AD,MTD!$A34)</f>
        <v>0</v>
      </c>
      <c r="AE34" s="32">
        <f>SUMIFS(ecommerce_sales_1000_records!$E:AG,ecommerce_sales_1000_records!$G:AI,AE$33,ecommerce_sales_1000_records!$C:AE,MTD!$A34)</f>
        <v>5315.39</v>
      </c>
      <c r="AF34" s="32">
        <f>SUMIFS(ecommerce_sales_1000_records!$E:AH,ecommerce_sales_1000_records!$G:AJ,AF$33,ecommerce_sales_1000_records!$C:AF,MTD!$A34)</f>
        <v>9534.57</v>
      </c>
      <c r="AG34" s="32">
        <f>SUMIFS(ecommerce_sales_1000_records!$E:AI,ecommerce_sales_1000_records!$G:AK,AG$33,ecommerce_sales_1000_records!$C:AG,MTD!$A34)</f>
        <v>1751.69</v>
      </c>
    </row>
    <row r="35" spans="1:33" ht="15" customHeight="1" x14ac:dyDescent="0.25">
      <c r="A35" s="30" t="s">
        <v>13</v>
      </c>
      <c r="B35" s="31">
        <f t="shared" ref="B35:B38" si="94">SUM(C35:AG35)</f>
        <v>1304164.5299999998</v>
      </c>
      <c r="C35" s="32">
        <f>SUMIFS(ecommerce_sales_1000_records!$E:E,ecommerce_sales_1000_records!$G:G,C$33,ecommerce_sales_1000_records!$C:C,MTD!$A35)</f>
        <v>57184.61</v>
      </c>
      <c r="D35" s="32">
        <f>SUMIFS(ecommerce_sales_1000_records!$E:F,ecommerce_sales_1000_records!$G:H,D$33,ecommerce_sales_1000_records!$C:D,MTD!$A35)</f>
        <v>80694.940000000017</v>
      </c>
      <c r="E35" s="32">
        <f>SUMIFS(ecommerce_sales_1000_records!$E:G,ecommerce_sales_1000_records!$G:I,E$33,ecommerce_sales_1000_records!$C:E,MTD!$A35)</f>
        <v>61224.4</v>
      </c>
      <c r="F35" s="32">
        <f>SUMIFS(ecommerce_sales_1000_records!$E:H,ecommerce_sales_1000_records!$G:J,F$33,ecommerce_sales_1000_records!$C:F,MTD!$A35)</f>
        <v>16798.72</v>
      </c>
      <c r="G35" s="32">
        <f>SUMIFS(ecommerce_sales_1000_records!$E:I,ecommerce_sales_1000_records!$G:K,G$33,ecommerce_sales_1000_records!$C:G,MTD!$A35)</f>
        <v>29679.26</v>
      </c>
      <c r="H35" s="32">
        <f>SUMIFS(ecommerce_sales_1000_records!$E:J,ecommerce_sales_1000_records!$G:L,H$33,ecommerce_sales_1000_records!$C:H,MTD!$A35)</f>
        <v>62518.04</v>
      </c>
      <c r="I35" s="32">
        <f>SUMIFS(ecommerce_sales_1000_records!$E:K,ecommerce_sales_1000_records!$G:M,I$33,ecommerce_sales_1000_records!$C:I,MTD!$A35)</f>
        <v>74112.679999999993</v>
      </c>
      <c r="J35" s="32">
        <f>SUMIFS(ecommerce_sales_1000_records!$E:L,ecommerce_sales_1000_records!$G:N,J$33,ecommerce_sales_1000_records!$C:J,MTD!$A35)</f>
        <v>19980.04</v>
      </c>
      <c r="K35" s="32">
        <f>SUMIFS(ecommerce_sales_1000_records!$E:M,ecommerce_sales_1000_records!$G:O,K$33,ecommerce_sales_1000_records!$C:K,MTD!$A35)</f>
        <v>2250.35</v>
      </c>
      <c r="L35" s="32">
        <f>SUMIFS(ecommerce_sales_1000_records!$E:N,ecommerce_sales_1000_records!$G:P,L$33,ecommerce_sales_1000_records!$C:L,MTD!$A35)</f>
        <v>100553.05</v>
      </c>
      <c r="M35" s="32">
        <f>SUMIFS(ecommerce_sales_1000_records!$E:O,ecommerce_sales_1000_records!$G:Q,M$33,ecommerce_sales_1000_records!$C:M,MTD!$A35)</f>
        <v>74485.53</v>
      </c>
      <c r="N35" s="32">
        <f>SUMIFS(ecommerce_sales_1000_records!$E:P,ecommerce_sales_1000_records!$G:R,N$33,ecommerce_sales_1000_records!$C:N,MTD!$A35)</f>
        <v>58543.199999999997</v>
      </c>
      <c r="O35" s="32">
        <f>SUMIFS(ecommerce_sales_1000_records!$E:Q,ecommerce_sales_1000_records!$G:S,O$33,ecommerce_sales_1000_records!$C:O,MTD!$A35)</f>
        <v>0</v>
      </c>
      <c r="P35" s="32">
        <f>SUMIFS(ecommerce_sales_1000_records!$E:R,ecommerce_sales_1000_records!$G:T,P$33,ecommerce_sales_1000_records!$C:P,MTD!$A35)</f>
        <v>73051.959999999992</v>
      </c>
      <c r="Q35" s="32">
        <f>SUMIFS(ecommerce_sales_1000_records!$E:S,ecommerce_sales_1000_records!$G:U,Q$33,ecommerce_sales_1000_records!$C:Q,MTD!$A35)</f>
        <v>3940.7999999999997</v>
      </c>
      <c r="R35" s="32">
        <f>SUMIFS(ecommerce_sales_1000_records!$E:T,ecommerce_sales_1000_records!$G:V,R$33,ecommerce_sales_1000_records!$C:R,MTD!$A35)</f>
        <v>19088.47</v>
      </c>
      <c r="S35" s="32">
        <f>SUMIFS(ecommerce_sales_1000_records!$E:U,ecommerce_sales_1000_records!$G:W,S$33,ecommerce_sales_1000_records!$C:S,MTD!$A35)</f>
        <v>18834.87</v>
      </c>
      <c r="T35" s="32">
        <f>SUMIFS(ecommerce_sales_1000_records!$E:V,ecommerce_sales_1000_records!$G:X,T$33,ecommerce_sales_1000_records!$C:T,MTD!$A35)</f>
        <v>16773.73</v>
      </c>
      <c r="U35" s="32">
        <f>SUMIFS(ecommerce_sales_1000_records!$E:W,ecommerce_sales_1000_records!$G:Y,U$33,ecommerce_sales_1000_records!$C:U,MTD!$A35)</f>
        <v>45178</v>
      </c>
      <c r="V35" s="32">
        <f>SUMIFS(ecommerce_sales_1000_records!$E:X,ecommerce_sales_1000_records!$G:Z,V$33,ecommerce_sales_1000_records!$C:V,MTD!$A35)</f>
        <v>78351.510000000009</v>
      </c>
      <c r="W35" s="32">
        <f>SUMIFS(ecommerce_sales_1000_records!$E:Y,ecommerce_sales_1000_records!$G:AA,W$33,ecommerce_sales_1000_records!$C:W,MTD!$A35)</f>
        <v>2228.89</v>
      </c>
      <c r="X35" s="32">
        <f>SUMIFS(ecommerce_sales_1000_records!$E:Z,ecommerce_sales_1000_records!$G:AB,X$33,ecommerce_sales_1000_records!$C:X,MTD!$A35)</f>
        <v>28922.11</v>
      </c>
      <c r="Y35" s="32">
        <f>SUMIFS(ecommerce_sales_1000_records!$E:AA,ecommerce_sales_1000_records!$G:AC,Y$33,ecommerce_sales_1000_records!$C:Y,MTD!$A35)</f>
        <v>17751.53</v>
      </c>
      <c r="Z35" s="32">
        <f>SUMIFS(ecommerce_sales_1000_records!$E:AB,ecommerce_sales_1000_records!$G:AD,Z$33,ecommerce_sales_1000_records!$C:Z,MTD!$A35)</f>
        <v>83891.4</v>
      </c>
      <c r="AA35" s="32">
        <f>SUMIFS(ecommerce_sales_1000_records!$E:AC,ecommerce_sales_1000_records!$G:AE,AA$33,ecommerce_sales_1000_records!$C:AA,MTD!$A35)</f>
        <v>2935.95</v>
      </c>
      <c r="AB35" s="32">
        <f>SUMIFS(ecommerce_sales_1000_records!$E:AD,ecommerce_sales_1000_records!$G:AF,AB$33,ecommerce_sales_1000_records!$C:AB,MTD!$A35)</f>
        <v>21605.559999999998</v>
      </c>
      <c r="AC35" s="32">
        <f>SUMIFS(ecommerce_sales_1000_records!$E:AE,ecommerce_sales_1000_records!$G:AG,AC$33,ecommerce_sales_1000_records!$C:AC,MTD!$A35)</f>
        <v>79130.25</v>
      </c>
      <c r="AD35" s="32">
        <f>SUMIFS(ecommerce_sales_1000_records!$E:AF,ecommerce_sales_1000_records!$G:AH,AD$33,ecommerce_sales_1000_records!$C:AD,MTD!$A35)</f>
        <v>0</v>
      </c>
      <c r="AE35" s="32">
        <f>SUMIFS(ecommerce_sales_1000_records!$E:AG,ecommerce_sales_1000_records!$G:AI,AE$33,ecommerce_sales_1000_records!$C:AE,MTD!$A35)</f>
        <v>87204.62</v>
      </c>
      <c r="AF35" s="32">
        <f>SUMIFS(ecommerce_sales_1000_records!$E:AH,ecommerce_sales_1000_records!$G:AJ,AF$33,ecommerce_sales_1000_records!$C:AF,MTD!$A35)</f>
        <v>0</v>
      </c>
      <c r="AG35" s="32">
        <f>SUMIFS(ecommerce_sales_1000_records!$E:AI,ecommerce_sales_1000_records!$G:AK,AG$33,ecommerce_sales_1000_records!$C:AG,MTD!$A35)</f>
        <v>87250.06</v>
      </c>
    </row>
    <row r="36" spans="1:33" ht="15" customHeight="1" x14ac:dyDescent="0.25">
      <c r="A36" s="30" t="s">
        <v>17</v>
      </c>
      <c r="B36" s="31">
        <f t="shared" si="94"/>
        <v>4565.4799999999996</v>
      </c>
      <c r="C36" s="32">
        <f>SUMIFS(ecommerce_sales_1000_records!$E:E,ecommerce_sales_1000_records!$G:G,C$33,ecommerce_sales_1000_records!$C:C,MTD!$A36)</f>
        <v>0</v>
      </c>
      <c r="D36" s="32">
        <f>SUMIFS(ecommerce_sales_1000_records!$E:F,ecommerce_sales_1000_records!$G:H,D$33,ecommerce_sales_1000_records!$C:D,MTD!$A36)</f>
        <v>0</v>
      </c>
      <c r="E36" s="32">
        <f>SUMIFS(ecommerce_sales_1000_records!$E:G,ecommerce_sales_1000_records!$G:I,E$33,ecommerce_sales_1000_records!$C:E,MTD!$A36)</f>
        <v>424.72</v>
      </c>
      <c r="F36" s="32">
        <f>SUMIFS(ecommerce_sales_1000_records!$E:H,ecommerce_sales_1000_records!$G:J,F$33,ecommerce_sales_1000_records!$C:F,MTD!$A36)</f>
        <v>482.63</v>
      </c>
      <c r="G36" s="32">
        <f>SUMIFS(ecommerce_sales_1000_records!$E:I,ecommerce_sales_1000_records!$G:K,G$33,ecommerce_sales_1000_records!$C:G,MTD!$A36)</f>
        <v>0</v>
      </c>
      <c r="H36" s="32">
        <f>SUMIFS(ecommerce_sales_1000_records!$E:J,ecommerce_sales_1000_records!$G:L,H$33,ecommerce_sales_1000_records!$C:H,MTD!$A36)</f>
        <v>484.69</v>
      </c>
      <c r="I36" s="32">
        <f>SUMIFS(ecommerce_sales_1000_records!$E:K,ecommerce_sales_1000_records!$G:M,I$33,ecommerce_sales_1000_records!$C:I,MTD!$A36)</f>
        <v>0</v>
      </c>
      <c r="J36" s="32">
        <f>SUMIFS(ecommerce_sales_1000_records!$E:L,ecommerce_sales_1000_records!$G:N,J$33,ecommerce_sales_1000_records!$C:J,MTD!$A36)</f>
        <v>0</v>
      </c>
      <c r="K36" s="32">
        <f>SUMIFS(ecommerce_sales_1000_records!$E:M,ecommerce_sales_1000_records!$G:O,K$33,ecommerce_sales_1000_records!$C:K,MTD!$A36)</f>
        <v>0</v>
      </c>
      <c r="L36" s="32">
        <f>SUMIFS(ecommerce_sales_1000_records!$E:N,ecommerce_sales_1000_records!$G:P,L$33,ecommerce_sales_1000_records!$C:L,MTD!$A36)</f>
        <v>847.21</v>
      </c>
      <c r="M36" s="32">
        <f>SUMIFS(ecommerce_sales_1000_records!$E:O,ecommerce_sales_1000_records!$G:Q,M$33,ecommerce_sales_1000_records!$C:M,MTD!$A36)</f>
        <v>442.69</v>
      </c>
      <c r="N36" s="32">
        <f>SUMIFS(ecommerce_sales_1000_records!$E:P,ecommerce_sales_1000_records!$G:R,N$33,ecommerce_sales_1000_records!$C:N,MTD!$A36)</f>
        <v>0</v>
      </c>
      <c r="O36" s="32">
        <f>SUMIFS(ecommerce_sales_1000_records!$E:Q,ecommerce_sales_1000_records!$G:S,O$33,ecommerce_sales_1000_records!$C:O,MTD!$A36)</f>
        <v>0</v>
      </c>
      <c r="P36" s="32">
        <f>SUMIFS(ecommerce_sales_1000_records!$E:R,ecommerce_sales_1000_records!$G:T,P$33,ecommerce_sales_1000_records!$C:P,MTD!$A36)</f>
        <v>0</v>
      </c>
      <c r="Q36" s="32">
        <f>SUMIFS(ecommerce_sales_1000_records!$E:S,ecommerce_sales_1000_records!$G:U,Q$33,ecommerce_sales_1000_records!$C:Q,MTD!$A36)</f>
        <v>0</v>
      </c>
      <c r="R36" s="32">
        <f>SUMIFS(ecommerce_sales_1000_records!$E:T,ecommerce_sales_1000_records!$G:V,R$33,ecommerce_sales_1000_records!$C:R,MTD!$A36)</f>
        <v>0</v>
      </c>
      <c r="S36" s="32">
        <f>SUMIFS(ecommerce_sales_1000_records!$E:U,ecommerce_sales_1000_records!$G:W,S$33,ecommerce_sales_1000_records!$C:S,MTD!$A36)</f>
        <v>0</v>
      </c>
      <c r="T36" s="32">
        <f>SUMIFS(ecommerce_sales_1000_records!$E:V,ecommerce_sales_1000_records!$G:X,T$33,ecommerce_sales_1000_records!$C:T,MTD!$A36)</f>
        <v>960.51</v>
      </c>
      <c r="U36" s="32">
        <f>SUMIFS(ecommerce_sales_1000_records!$E:W,ecommerce_sales_1000_records!$G:Y,U$33,ecommerce_sales_1000_records!$C:U,MTD!$A36)</f>
        <v>480.3</v>
      </c>
      <c r="V36" s="32">
        <f>SUMIFS(ecommerce_sales_1000_records!$E:X,ecommerce_sales_1000_records!$G:Z,V$33,ecommerce_sales_1000_records!$C:V,MTD!$A36)</f>
        <v>0</v>
      </c>
      <c r="W36" s="32">
        <f>SUMIFS(ecommerce_sales_1000_records!$E:Y,ecommerce_sales_1000_records!$G:AA,W$33,ecommerce_sales_1000_records!$C:W,MTD!$A36)</f>
        <v>0</v>
      </c>
      <c r="X36" s="32">
        <f>SUMIFS(ecommerce_sales_1000_records!$E:Z,ecommerce_sales_1000_records!$G:AB,X$33,ecommerce_sales_1000_records!$C:X,MTD!$A36)</f>
        <v>0</v>
      </c>
      <c r="Y36" s="32">
        <f>SUMIFS(ecommerce_sales_1000_records!$E:AA,ecommerce_sales_1000_records!$G:AC,Y$33,ecommerce_sales_1000_records!$C:Y,MTD!$A36)</f>
        <v>0</v>
      </c>
      <c r="Z36" s="32">
        <f>SUMIFS(ecommerce_sales_1000_records!$E:AB,ecommerce_sales_1000_records!$G:AD,Z$33,ecommerce_sales_1000_records!$C:Z,MTD!$A36)</f>
        <v>0</v>
      </c>
      <c r="AA36" s="32">
        <f>SUMIFS(ecommerce_sales_1000_records!$E:AC,ecommerce_sales_1000_records!$G:AE,AA$33,ecommerce_sales_1000_records!$C:AA,MTD!$A36)</f>
        <v>442.73</v>
      </c>
      <c r="AB36" s="32">
        <f>SUMIFS(ecommerce_sales_1000_records!$E:AD,ecommerce_sales_1000_records!$G:AF,AB$33,ecommerce_sales_1000_records!$C:AB,MTD!$A36)</f>
        <v>0</v>
      </c>
      <c r="AC36" s="32">
        <f>SUMIFS(ecommerce_sales_1000_records!$E:AE,ecommerce_sales_1000_records!$G:AG,AC$33,ecommerce_sales_1000_records!$C:AC,MTD!$A36)</f>
        <v>0</v>
      </c>
      <c r="AD36" s="32">
        <f>SUMIFS(ecommerce_sales_1000_records!$E:AF,ecommerce_sales_1000_records!$G:AH,AD$33,ecommerce_sales_1000_records!$C:AD,MTD!$A36)</f>
        <v>0</v>
      </c>
      <c r="AE36" s="32">
        <f>SUMIFS(ecommerce_sales_1000_records!$E:AG,ecommerce_sales_1000_records!$G:AI,AE$33,ecommerce_sales_1000_records!$C:AE,MTD!$A36)</f>
        <v>0</v>
      </c>
      <c r="AF36" s="32">
        <f>SUMIFS(ecommerce_sales_1000_records!$E:AH,ecommerce_sales_1000_records!$G:AJ,AF$33,ecommerce_sales_1000_records!$C:AF,MTD!$A36)</f>
        <v>0</v>
      </c>
      <c r="AG36" s="32">
        <f>SUMIFS(ecommerce_sales_1000_records!$E:AI,ecommerce_sales_1000_records!$G:AK,AG$33,ecommerce_sales_1000_records!$C:AG,MTD!$A36)</f>
        <v>0</v>
      </c>
    </row>
    <row r="37" spans="1:33" ht="15" customHeight="1" x14ac:dyDescent="0.25">
      <c r="A37" s="30" t="s">
        <v>25</v>
      </c>
      <c r="B37" s="31">
        <f t="shared" si="94"/>
        <v>80989.909999999989</v>
      </c>
      <c r="C37" s="32">
        <f>SUMIFS(ecommerce_sales_1000_records!$E:E,ecommerce_sales_1000_records!$G:G,C$33,ecommerce_sales_1000_records!$C:C,MTD!$A37)</f>
        <v>4705.33</v>
      </c>
      <c r="D37" s="32">
        <f>SUMIFS(ecommerce_sales_1000_records!$E:F,ecommerce_sales_1000_records!$G:H,D$33,ecommerce_sales_1000_records!$C:D,MTD!$A37)</f>
        <v>4514.13</v>
      </c>
      <c r="E37" s="32">
        <f>SUMIFS(ecommerce_sales_1000_records!$E:G,ecommerce_sales_1000_records!$G:I,E$33,ecommerce_sales_1000_records!$C:E,MTD!$A37)</f>
        <v>1600.43</v>
      </c>
      <c r="F37" s="32">
        <f>SUMIFS(ecommerce_sales_1000_records!$E:H,ecommerce_sales_1000_records!$G:J,F$33,ecommerce_sales_1000_records!$C:F,MTD!$A37)</f>
        <v>2557.89</v>
      </c>
      <c r="G37" s="32">
        <f>SUMIFS(ecommerce_sales_1000_records!$E:I,ecommerce_sales_1000_records!$G:K,G$33,ecommerce_sales_1000_records!$C:G,MTD!$A37)</f>
        <v>0</v>
      </c>
      <c r="H37" s="32">
        <f>SUMIFS(ecommerce_sales_1000_records!$E:J,ecommerce_sales_1000_records!$G:L,H$33,ecommerce_sales_1000_records!$C:H,MTD!$A37)</f>
        <v>2029.5</v>
      </c>
      <c r="I37" s="32">
        <f>SUMIFS(ecommerce_sales_1000_records!$E:K,ecommerce_sales_1000_records!$G:M,I$33,ecommerce_sales_1000_records!$C:I,MTD!$A37)</f>
        <v>0</v>
      </c>
      <c r="J37" s="32">
        <f>SUMIFS(ecommerce_sales_1000_records!$E:L,ecommerce_sales_1000_records!$G:N,J$33,ecommerce_sales_1000_records!$C:J,MTD!$A37)</f>
        <v>0</v>
      </c>
      <c r="K37" s="32">
        <f>SUMIFS(ecommerce_sales_1000_records!$E:M,ecommerce_sales_1000_records!$G:O,K$33,ecommerce_sales_1000_records!$C:K,MTD!$A37)</f>
        <v>5978.23</v>
      </c>
      <c r="L37" s="32">
        <f>SUMIFS(ecommerce_sales_1000_records!$E:N,ecommerce_sales_1000_records!$G:P,L$33,ecommerce_sales_1000_records!$C:L,MTD!$A37)</f>
        <v>4590.79</v>
      </c>
      <c r="M37" s="32">
        <f>SUMIFS(ecommerce_sales_1000_records!$E:O,ecommerce_sales_1000_records!$G:Q,M$33,ecommerce_sales_1000_records!$C:M,MTD!$A37)</f>
        <v>2747.56</v>
      </c>
      <c r="N37" s="32">
        <f>SUMIFS(ecommerce_sales_1000_records!$E:P,ecommerce_sales_1000_records!$G:R,N$33,ecommerce_sales_1000_records!$C:N,MTD!$A37)</f>
        <v>4945.93</v>
      </c>
      <c r="O37" s="32">
        <f>SUMIFS(ecommerce_sales_1000_records!$E:Q,ecommerce_sales_1000_records!$G:S,O$33,ecommerce_sales_1000_records!$C:O,MTD!$A37)</f>
        <v>0</v>
      </c>
      <c r="P37" s="32">
        <f>SUMIFS(ecommerce_sales_1000_records!$E:R,ecommerce_sales_1000_records!$G:T,P$33,ecommerce_sales_1000_records!$C:P,MTD!$A37)</f>
        <v>832.36</v>
      </c>
      <c r="Q37" s="32">
        <f>SUMIFS(ecommerce_sales_1000_records!$E:S,ecommerce_sales_1000_records!$G:U,Q$33,ecommerce_sales_1000_records!$C:Q,MTD!$A37)</f>
        <v>1756</v>
      </c>
      <c r="R37" s="32">
        <f>SUMIFS(ecommerce_sales_1000_records!$E:T,ecommerce_sales_1000_records!$G:V,R$33,ecommerce_sales_1000_records!$C:R,MTD!$A37)</f>
        <v>1829.64</v>
      </c>
      <c r="S37" s="32">
        <f>SUMIFS(ecommerce_sales_1000_records!$E:U,ecommerce_sales_1000_records!$G:W,S$33,ecommerce_sales_1000_records!$C:S,MTD!$A37)</f>
        <v>4880.3899999999994</v>
      </c>
      <c r="T37" s="32">
        <f>SUMIFS(ecommerce_sales_1000_records!$E:V,ecommerce_sales_1000_records!$G:X,T$33,ecommerce_sales_1000_records!$C:T,MTD!$A37)</f>
        <v>3636.4799999999996</v>
      </c>
      <c r="U37" s="32">
        <f>SUMIFS(ecommerce_sales_1000_records!$E:W,ecommerce_sales_1000_records!$G:Y,U$33,ecommerce_sales_1000_records!$C:U,MTD!$A37)</f>
        <v>2336.88</v>
      </c>
      <c r="V37" s="32">
        <f>SUMIFS(ecommerce_sales_1000_records!$E:X,ecommerce_sales_1000_records!$G:Z,V$33,ecommerce_sales_1000_records!$C:V,MTD!$A37)</f>
        <v>0</v>
      </c>
      <c r="W37" s="32">
        <f>SUMIFS(ecommerce_sales_1000_records!$E:Y,ecommerce_sales_1000_records!$G:AA,W$33,ecommerce_sales_1000_records!$C:W,MTD!$A37)</f>
        <v>6580.41</v>
      </c>
      <c r="X37" s="32">
        <f>SUMIFS(ecommerce_sales_1000_records!$E:Z,ecommerce_sales_1000_records!$G:AB,X$33,ecommerce_sales_1000_records!$C:X,MTD!$A37)</f>
        <v>771.22</v>
      </c>
      <c r="Y37" s="32">
        <f>SUMIFS(ecommerce_sales_1000_records!$E:AA,ecommerce_sales_1000_records!$G:AC,Y$33,ecommerce_sales_1000_records!$C:Y,MTD!$A37)</f>
        <v>2974.13</v>
      </c>
      <c r="Z37" s="32">
        <f>SUMIFS(ecommerce_sales_1000_records!$E:AB,ecommerce_sales_1000_records!$G:AD,Z$33,ecommerce_sales_1000_records!$C:Z,MTD!$A37)</f>
        <v>4470.8500000000004</v>
      </c>
      <c r="AA37" s="32">
        <f>SUMIFS(ecommerce_sales_1000_records!$E:AC,ecommerce_sales_1000_records!$G:AE,AA$33,ecommerce_sales_1000_records!$C:AA,MTD!$A37)</f>
        <v>2339.77</v>
      </c>
      <c r="AB37" s="32">
        <f>SUMIFS(ecommerce_sales_1000_records!$E:AD,ecommerce_sales_1000_records!$G:AF,AB$33,ecommerce_sales_1000_records!$C:AB,MTD!$A37)</f>
        <v>3192.1200000000003</v>
      </c>
      <c r="AC37" s="32">
        <f>SUMIFS(ecommerce_sales_1000_records!$E:AE,ecommerce_sales_1000_records!$G:AG,AC$33,ecommerce_sales_1000_records!$C:AC,MTD!$A37)</f>
        <v>4809.42</v>
      </c>
      <c r="AD37" s="32">
        <f>SUMIFS(ecommerce_sales_1000_records!$E:AF,ecommerce_sales_1000_records!$G:AH,AD$33,ecommerce_sales_1000_records!$C:AD,MTD!$A37)</f>
        <v>2988.9100000000003</v>
      </c>
      <c r="AE37" s="32">
        <f>SUMIFS(ecommerce_sales_1000_records!$E:AG,ecommerce_sales_1000_records!$G:AI,AE$33,ecommerce_sales_1000_records!$C:AE,MTD!$A37)</f>
        <v>3921.54</v>
      </c>
      <c r="AF37" s="32">
        <f>SUMIFS(ecommerce_sales_1000_records!$E:AH,ecommerce_sales_1000_records!$G:AJ,AF$33,ecommerce_sales_1000_records!$C:AF,MTD!$A37)</f>
        <v>0</v>
      </c>
      <c r="AG37" s="32">
        <f>SUMIFS(ecommerce_sales_1000_records!$E:AI,ecommerce_sales_1000_records!$G:AK,AG$33,ecommerce_sales_1000_records!$C:AG,MTD!$A37)</f>
        <v>0</v>
      </c>
    </row>
    <row r="38" spans="1:33" ht="15" customHeight="1" x14ac:dyDescent="0.25">
      <c r="A38" s="30" t="s">
        <v>39</v>
      </c>
      <c r="B38" s="31">
        <f t="shared" si="94"/>
        <v>225640.29</v>
      </c>
      <c r="C38" s="32">
        <f>SUMIFS(ecommerce_sales_1000_records!$E:E,ecommerce_sales_1000_records!$G:G,C$33,ecommerce_sales_1000_records!$C:C,MTD!$A38)</f>
        <v>18896.22</v>
      </c>
      <c r="D38" s="32">
        <f>SUMIFS(ecommerce_sales_1000_records!$E:F,ecommerce_sales_1000_records!$G:H,D$33,ecommerce_sales_1000_records!$C:D,MTD!$A38)</f>
        <v>24259.02</v>
      </c>
      <c r="E38" s="32">
        <f>SUMIFS(ecommerce_sales_1000_records!$E:G,ecommerce_sales_1000_records!$G:I,E$33,ecommerce_sales_1000_records!$C:E,MTD!$A38)</f>
        <v>10718.08</v>
      </c>
      <c r="F38" s="32">
        <f>SUMIFS(ecommerce_sales_1000_records!$E:H,ecommerce_sales_1000_records!$G:J,F$33,ecommerce_sales_1000_records!$C:F,MTD!$A38)</f>
        <v>8383.08</v>
      </c>
      <c r="G38" s="32">
        <f>SUMIFS(ecommerce_sales_1000_records!$E:I,ecommerce_sales_1000_records!$G:K,G$33,ecommerce_sales_1000_records!$C:G,MTD!$A38)</f>
        <v>3789.4</v>
      </c>
      <c r="H38" s="32">
        <f>SUMIFS(ecommerce_sales_1000_records!$E:J,ecommerce_sales_1000_records!$G:L,H$33,ecommerce_sales_1000_records!$C:H,MTD!$A38)</f>
        <v>7239.02</v>
      </c>
      <c r="I38" s="32">
        <f>SUMIFS(ecommerce_sales_1000_records!$E:K,ecommerce_sales_1000_records!$G:M,I$33,ecommerce_sales_1000_records!$C:I,MTD!$A38)</f>
        <v>0</v>
      </c>
      <c r="J38" s="32">
        <f>SUMIFS(ecommerce_sales_1000_records!$E:L,ecommerce_sales_1000_records!$G:N,J$33,ecommerce_sales_1000_records!$C:J,MTD!$A38)</f>
        <v>6655.62</v>
      </c>
      <c r="K38" s="32">
        <f>SUMIFS(ecommerce_sales_1000_records!$E:M,ecommerce_sales_1000_records!$G:O,K$33,ecommerce_sales_1000_records!$C:K,MTD!$A38)</f>
        <v>7457.48</v>
      </c>
      <c r="L38" s="32">
        <f>SUMIFS(ecommerce_sales_1000_records!$E:N,ecommerce_sales_1000_records!$G:P,L$33,ecommerce_sales_1000_records!$C:L,MTD!$A38)</f>
        <v>0</v>
      </c>
      <c r="M38" s="32">
        <f>SUMIFS(ecommerce_sales_1000_records!$E:O,ecommerce_sales_1000_records!$G:Q,M$33,ecommerce_sales_1000_records!$C:M,MTD!$A38)</f>
        <v>0</v>
      </c>
      <c r="N38" s="32">
        <f>SUMIFS(ecommerce_sales_1000_records!$E:P,ecommerce_sales_1000_records!$G:R,N$33,ecommerce_sales_1000_records!$C:N,MTD!$A38)</f>
        <v>4039.07</v>
      </c>
      <c r="O38" s="32">
        <f>SUMIFS(ecommerce_sales_1000_records!$E:Q,ecommerce_sales_1000_records!$G:S,O$33,ecommerce_sales_1000_records!$C:O,MTD!$A38)</f>
        <v>3242.89</v>
      </c>
      <c r="P38" s="32">
        <f>SUMIFS(ecommerce_sales_1000_records!$E:R,ecommerce_sales_1000_records!$G:T,P$33,ecommerce_sales_1000_records!$C:P,MTD!$A38)</f>
        <v>7252.54</v>
      </c>
      <c r="Q38" s="32">
        <f>SUMIFS(ecommerce_sales_1000_records!$E:S,ecommerce_sales_1000_records!$G:U,Q$33,ecommerce_sales_1000_records!$C:Q,MTD!$A38)</f>
        <v>4618.42</v>
      </c>
      <c r="R38" s="32">
        <f>SUMIFS(ecommerce_sales_1000_records!$E:T,ecommerce_sales_1000_records!$G:V,R$33,ecommerce_sales_1000_records!$C:R,MTD!$A38)</f>
        <v>3500.33</v>
      </c>
      <c r="S38" s="32">
        <f>SUMIFS(ecommerce_sales_1000_records!$E:U,ecommerce_sales_1000_records!$G:W,S$33,ecommerce_sales_1000_records!$C:S,MTD!$A38)</f>
        <v>6758.45</v>
      </c>
      <c r="T38" s="32">
        <f>SUMIFS(ecommerce_sales_1000_records!$E:V,ecommerce_sales_1000_records!$G:X,T$33,ecommerce_sales_1000_records!$C:T,MTD!$A38)</f>
        <v>0</v>
      </c>
      <c r="U38" s="32">
        <f>SUMIFS(ecommerce_sales_1000_records!$E:W,ecommerce_sales_1000_records!$G:Y,U$33,ecommerce_sales_1000_records!$C:U,MTD!$A38)</f>
        <v>0</v>
      </c>
      <c r="V38" s="32">
        <f>SUMIFS(ecommerce_sales_1000_records!$E:X,ecommerce_sales_1000_records!$G:Z,V$33,ecommerce_sales_1000_records!$C:V,MTD!$A38)</f>
        <v>10240.24</v>
      </c>
      <c r="W38" s="32">
        <f>SUMIFS(ecommerce_sales_1000_records!$E:Y,ecommerce_sales_1000_records!$G:AA,W$33,ecommerce_sales_1000_records!$C:W,MTD!$A38)</f>
        <v>0</v>
      </c>
      <c r="X38" s="32">
        <f>SUMIFS(ecommerce_sales_1000_records!$E:Z,ecommerce_sales_1000_records!$G:AB,X$33,ecommerce_sales_1000_records!$C:X,MTD!$A38)</f>
        <v>4206.16</v>
      </c>
      <c r="Y38" s="32">
        <f>SUMIFS(ecommerce_sales_1000_records!$E:AA,ecommerce_sales_1000_records!$G:AC,Y$33,ecommerce_sales_1000_records!$C:Y,MTD!$A38)</f>
        <v>3820.14</v>
      </c>
      <c r="Z38" s="32">
        <f>SUMIFS(ecommerce_sales_1000_records!$E:AB,ecommerce_sales_1000_records!$G:AD,Z$33,ecommerce_sales_1000_records!$C:Z,MTD!$A38)</f>
        <v>22465.420000000002</v>
      </c>
      <c r="AA38" s="32">
        <f>SUMIFS(ecommerce_sales_1000_records!$E:AC,ecommerce_sales_1000_records!$G:AE,AA$33,ecommerce_sales_1000_records!$C:AA,MTD!$A38)</f>
        <v>10197.65</v>
      </c>
      <c r="AB38" s="32">
        <f>SUMIFS(ecommerce_sales_1000_records!$E:AD,ecommerce_sales_1000_records!$G:AF,AB$33,ecommerce_sales_1000_records!$C:AB,MTD!$A38)</f>
        <v>6161.29</v>
      </c>
      <c r="AC38" s="32">
        <f>SUMIFS(ecommerce_sales_1000_records!$E:AE,ecommerce_sales_1000_records!$G:AG,AC$33,ecommerce_sales_1000_records!$C:AC,MTD!$A38)</f>
        <v>13157.779999999999</v>
      </c>
      <c r="AD38" s="32">
        <f>SUMIFS(ecommerce_sales_1000_records!$E:AF,ecommerce_sales_1000_records!$G:AH,AD$33,ecommerce_sales_1000_records!$C:AD,MTD!$A38)</f>
        <v>12636.369999999999</v>
      </c>
      <c r="AE38" s="32">
        <f>SUMIFS(ecommerce_sales_1000_records!$E:AG,ecommerce_sales_1000_records!$G:AI,AE$33,ecommerce_sales_1000_records!$C:AE,MTD!$A38)</f>
        <v>0</v>
      </c>
      <c r="AF38" s="32">
        <f>SUMIFS(ecommerce_sales_1000_records!$E:AH,ecommerce_sales_1000_records!$G:AJ,AF$33,ecommerce_sales_1000_records!$C:AF,MTD!$A38)</f>
        <v>19727.93</v>
      </c>
      <c r="AG38" s="32">
        <f>SUMIFS(ecommerce_sales_1000_records!$E:AI,ecommerce_sales_1000_records!$G:AK,AG$33,ecommerce_sales_1000_records!$C:AG,MTD!$A38)</f>
        <v>6217.69</v>
      </c>
    </row>
    <row r="39" spans="1:33" ht="15" customHeight="1" x14ac:dyDescent="0.3">
      <c r="A39" s="14" t="s">
        <v>1038</v>
      </c>
      <c r="B39" s="19">
        <f>SUM(B34:B38)</f>
        <v>1692069.9999999998</v>
      </c>
      <c r="C39" s="31">
        <f t="shared" ref="C39" si="95">SUM(C34:C38)</f>
        <v>85393.58</v>
      </c>
      <c r="D39" s="31">
        <f t="shared" ref="D39" si="96">SUM(D34:D38)</f>
        <v>121783.41000000002</v>
      </c>
      <c r="E39" s="31">
        <f t="shared" ref="E39" si="97">SUM(E34:E38)</f>
        <v>73967.63</v>
      </c>
      <c r="F39" s="31">
        <f t="shared" ref="F39" si="98">SUM(F34:F38)</f>
        <v>28222.32</v>
      </c>
      <c r="G39" s="31">
        <f t="shared" ref="G39" si="99">SUM(G34:G38)</f>
        <v>38250.949999999997</v>
      </c>
      <c r="H39" s="31">
        <f t="shared" ref="H39" si="100">SUM(H34:H38)</f>
        <v>72271.25</v>
      </c>
      <c r="I39" s="31">
        <f t="shared" ref="I39" si="101">SUM(I34:I38)</f>
        <v>74112.679999999993</v>
      </c>
      <c r="J39" s="31">
        <f t="shared" ref="J39" si="102">SUM(J34:J38)</f>
        <v>28508.68</v>
      </c>
      <c r="K39" s="31">
        <f t="shared" ref="K39" si="103">SUM(K34:K38)</f>
        <v>15686.06</v>
      </c>
      <c r="L39" s="31">
        <f t="shared" ref="L39" si="104">SUM(L34:L38)</f>
        <v>111096.19</v>
      </c>
      <c r="M39" s="31">
        <f t="shared" ref="M39" si="105">SUM(M34:M38)</f>
        <v>79329.42</v>
      </c>
      <c r="N39" s="31">
        <f t="shared" ref="N39" si="106">SUM(N34:N38)</f>
        <v>67528.2</v>
      </c>
      <c r="O39" s="31">
        <f t="shared" ref="O39" si="107">SUM(O34:O38)</f>
        <v>3242.89</v>
      </c>
      <c r="P39" s="31">
        <f t="shared" ref="P39" si="108">SUM(P34:P38)</f>
        <v>81136.859999999986</v>
      </c>
      <c r="Q39" s="31">
        <f t="shared" ref="Q39" si="109">SUM(Q34:Q38)</f>
        <v>10315.219999999999</v>
      </c>
      <c r="R39" s="31">
        <f t="shared" ref="R39" si="110">SUM(R34:R38)</f>
        <v>26171.29</v>
      </c>
      <c r="S39" s="31">
        <f t="shared" ref="S39" si="111">SUM(S34:S38)</f>
        <v>35929.299999999996</v>
      </c>
      <c r="T39" s="31">
        <f t="shared" ref="T39" si="112">SUM(T34:T38)</f>
        <v>25886.539999999997</v>
      </c>
      <c r="U39" s="31">
        <f t="shared" ref="U39" si="113">SUM(U34:U38)</f>
        <v>49646.03</v>
      </c>
      <c r="V39" s="31">
        <f t="shared" ref="V39" si="114">SUM(V34:V38)</f>
        <v>93972.440000000017</v>
      </c>
      <c r="W39" s="31">
        <f t="shared" ref="W39" si="115">SUM(W34:W38)</f>
        <v>8809.2999999999993</v>
      </c>
      <c r="X39" s="31">
        <f t="shared" ref="X39" si="116">SUM(X34:X38)</f>
        <v>44915</v>
      </c>
      <c r="Y39" s="31">
        <f t="shared" ref="Y39" si="117">SUM(Y34:Y38)</f>
        <v>24545.8</v>
      </c>
      <c r="Z39" s="31">
        <f t="shared" ref="Z39" si="118">SUM(Z34:Z38)</f>
        <v>110827.67</v>
      </c>
      <c r="AA39" s="31">
        <f t="shared" ref="AA39" si="119">SUM(AA34:AA38)</f>
        <v>15916.099999999999</v>
      </c>
      <c r="AB39" s="31">
        <f t="shared" ref="AB39" si="120">SUM(AB34:AB38)</f>
        <v>30958.969999999998</v>
      </c>
      <c r="AC39" s="31">
        <f t="shared" ref="AC39" si="121">SUM(AC34:AC38)</f>
        <v>97097.45</v>
      </c>
      <c r="AD39" s="31">
        <f t="shared" ref="AD39" si="122">SUM(AD34:AD38)</f>
        <v>15625.279999999999</v>
      </c>
      <c r="AE39" s="31">
        <f t="shared" ref="AE39" si="123">SUM(AE34:AE38)</f>
        <v>96441.549999999988</v>
      </c>
      <c r="AF39" s="31">
        <f t="shared" ref="AF39:AG39" si="124">SUM(AF34:AF38)</f>
        <v>29262.5</v>
      </c>
      <c r="AG39" s="31">
        <f t="shared" si="124"/>
        <v>95219.44</v>
      </c>
    </row>
    <row r="41" spans="1:33" ht="15" customHeight="1" x14ac:dyDescent="0.3">
      <c r="A41" s="14" t="s">
        <v>6</v>
      </c>
      <c r="B41" s="27">
        <v>46174</v>
      </c>
      <c r="C41" s="28">
        <v>46174</v>
      </c>
      <c r="D41" s="28">
        <f>C41+1</f>
        <v>46175</v>
      </c>
      <c r="E41" s="28">
        <f>D41+1</f>
        <v>46176</v>
      </c>
      <c r="F41" s="28">
        <f>E41+1</f>
        <v>46177</v>
      </c>
      <c r="G41" s="28">
        <f>F41+1</f>
        <v>46178</v>
      </c>
      <c r="H41" s="28">
        <f>G41+1</f>
        <v>46179</v>
      </c>
      <c r="I41" s="28">
        <f>H41+1</f>
        <v>46180</v>
      </c>
      <c r="J41" s="28">
        <f>I41+1</f>
        <v>46181</v>
      </c>
      <c r="K41" s="28">
        <f>J41+1</f>
        <v>46182</v>
      </c>
      <c r="L41" s="28">
        <f>K41+1</f>
        <v>46183</v>
      </c>
      <c r="M41" s="28">
        <f>L41+1</f>
        <v>46184</v>
      </c>
      <c r="N41" s="28">
        <f>M41+1</f>
        <v>46185</v>
      </c>
      <c r="O41" s="28">
        <f>N41+1</f>
        <v>46186</v>
      </c>
      <c r="P41" s="28">
        <f>O41+1</f>
        <v>46187</v>
      </c>
      <c r="Q41" s="28">
        <f>P41+1</f>
        <v>46188</v>
      </c>
      <c r="R41" s="28">
        <f>Q41+1</f>
        <v>46189</v>
      </c>
      <c r="S41" s="28">
        <f>R41+1</f>
        <v>46190</v>
      </c>
      <c r="T41" s="28">
        <f>S41+1</f>
        <v>46191</v>
      </c>
      <c r="U41" s="28">
        <f>T41+1</f>
        <v>46192</v>
      </c>
      <c r="V41" s="28">
        <f>U41+1</f>
        <v>46193</v>
      </c>
      <c r="W41" s="28">
        <f>V41+1</f>
        <v>46194</v>
      </c>
      <c r="X41" s="28">
        <f>W41+1</f>
        <v>46195</v>
      </c>
      <c r="Y41" s="28">
        <f>X41+1</f>
        <v>46196</v>
      </c>
      <c r="Z41" s="28">
        <f>Y41+1</f>
        <v>46197</v>
      </c>
      <c r="AA41" s="28">
        <f>Z41+1</f>
        <v>46198</v>
      </c>
      <c r="AB41" s="28">
        <f>AA41+1</f>
        <v>46199</v>
      </c>
      <c r="AC41" s="28">
        <f>AB41+1</f>
        <v>46200</v>
      </c>
      <c r="AD41" s="28">
        <f>AC41+1</f>
        <v>46201</v>
      </c>
      <c r="AE41" s="28">
        <f>AD41+1</f>
        <v>46202</v>
      </c>
      <c r="AF41" s="28">
        <f>AE41+1</f>
        <v>46203</v>
      </c>
    </row>
    <row r="42" spans="1:33" ht="15" customHeight="1" x14ac:dyDescent="0.25">
      <c r="A42" s="30" t="s">
        <v>9</v>
      </c>
      <c r="B42" s="31">
        <f>SUM(C42:AG42)</f>
        <v>110383.38999999998</v>
      </c>
      <c r="C42" s="32">
        <f>SUMIFS(ecommerce_sales_1000_records!$E:E,ecommerce_sales_1000_records!$G:G,C$41,ecommerce_sales_1000_records!$C:C,MTD!$A42)</f>
        <v>0</v>
      </c>
      <c r="D42" s="32">
        <f>SUMIFS(ecommerce_sales_1000_records!$E:F,ecommerce_sales_1000_records!$G:H,D$41,ecommerce_sales_1000_records!$C:D,MTD!$A42)</f>
        <v>5407.82</v>
      </c>
      <c r="E42" s="32">
        <f>SUMIFS(ecommerce_sales_1000_records!$E:G,ecommerce_sales_1000_records!$G:I,E$41,ecommerce_sales_1000_records!$C:E,MTD!$A42)</f>
        <v>1709.34</v>
      </c>
      <c r="F42" s="32">
        <f>SUMIFS(ecommerce_sales_1000_records!$E:H,ecommerce_sales_1000_records!$G:J,F$41,ecommerce_sales_1000_records!$C:F,MTD!$A42)</f>
        <v>1891.84</v>
      </c>
      <c r="G42" s="32">
        <f>SUMIFS(ecommerce_sales_1000_records!$E:I,ecommerce_sales_1000_records!$G:K,G$41,ecommerce_sales_1000_records!$C:G,MTD!$A42)</f>
        <v>1872.66</v>
      </c>
      <c r="H42" s="32">
        <f>SUMIFS(ecommerce_sales_1000_records!$E:J,ecommerce_sales_1000_records!$G:L,H$41,ecommerce_sales_1000_records!$C:H,MTD!$A42)</f>
        <v>0</v>
      </c>
      <c r="I42" s="32">
        <f>SUMIFS(ecommerce_sales_1000_records!$E:K,ecommerce_sales_1000_records!$G:M,I$41,ecommerce_sales_1000_records!$C:I,MTD!$A42)</f>
        <v>10372.26</v>
      </c>
      <c r="J42" s="32">
        <f>SUMIFS(ecommerce_sales_1000_records!$E:L,ecommerce_sales_1000_records!$G:N,J$41,ecommerce_sales_1000_records!$C:J,MTD!$A42)</f>
        <v>0</v>
      </c>
      <c r="K42" s="32">
        <f>SUMIFS(ecommerce_sales_1000_records!$E:M,ecommerce_sales_1000_records!$G:O,K$41,ecommerce_sales_1000_records!$C:K,MTD!$A42)</f>
        <v>17076.32</v>
      </c>
      <c r="L42" s="32">
        <f>SUMIFS(ecommerce_sales_1000_records!$E:N,ecommerce_sales_1000_records!$G:P,L$41,ecommerce_sales_1000_records!$C:L,MTD!$A42)</f>
        <v>6981.48</v>
      </c>
      <c r="M42" s="32">
        <f>SUMIFS(ecommerce_sales_1000_records!$E:O,ecommerce_sales_1000_records!$G:Q,M$41,ecommerce_sales_1000_records!$C:M,MTD!$A42)</f>
        <v>4730.91</v>
      </c>
      <c r="N42" s="32">
        <f>SUMIFS(ecommerce_sales_1000_records!$E:P,ecommerce_sales_1000_records!$G:R,N$41,ecommerce_sales_1000_records!$C:N,MTD!$A42)</f>
        <v>0</v>
      </c>
      <c r="O42" s="32">
        <f>SUMIFS(ecommerce_sales_1000_records!$E:Q,ecommerce_sales_1000_records!$G:S,O$41,ecommerce_sales_1000_records!$C:O,MTD!$A42)</f>
        <v>0</v>
      </c>
      <c r="P42" s="32">
        <f>SUMIFS(ecommerce_sales_1000_records!$E:R,ecommerce_sales_1000_records!$G:T,P$41,ecommerce_sales_1000_records!$C:P,MTD!$A42)</f>
        <v>0</v>
      </c>
      <c r="Q42" s="32">
        <f>SUMIFS(ecommerce_sales_1000_records!$E:S,ecommerce_sales_1000_records!$G:U,Q$41,ecommerce_sales_1000_records!$C:Q,MTD!$A42)</f>
        <v>0</v>
      </c>
      <c r="R42" s="32">
        <f>SUMIFS(ecommerce_sales_1000_records!$E:T,ecommerce_sales_1000_records!$G:V,R$41,ecommerce_sales_1000_records!$C:R,MTD!$A42)</f>
        <v>5327.74</v>
      </c>
      <c r="S42" s="32">
        <f>SUMIFS(ecommerce_sales_1000_records!$E:U,ecommerce_sales_1000_records!$G:W,S$41,ecommerce_sales_1000_records!$C:S,MTD!$A42)</f>
        <v>5292.04</v>
      </c>
      <c r="T42" s="32">
        <f>SUMIFS(ecommerce_sales_1000_records!$E:V,ecommerce_sales_1000_records!$G:X,T$41,ecommerce_sales_1000_records!$C:T,MTD!$A42)</f>
        <v>3906.1099999999997</v>
      </c>
      <c r="U42" s="32">
        <f>SUMIFS(ecommerce_sales_1000_records!$E:W,ecommerce_sales_1000_records!$G:Y,U$41,ecommerce_sales_1000_records!$C:U,MTD!$A42)</f>
        <v>9449.82</v>
      </c>
      <c r="V42" s="32">
        <f>SUMIFS(ecommerce_sales_1000_records!$E:X,ecommerce_sales_1000_records!$G:Z,V$41,ecommerce_sales_1000_records!$C:V,MTD!$A42)</f>
        <v>12092.7</v>
      </c>
      <c r="W42" s="32">
        <f>SUMIFS(ecommerce_sales_1000_records!$E:Y,ecommerce_sales_1000_records!$G:AA,W$41,ecommerce_sales_1000_records!$C:W,MTD!$A42)</f>
        <v>1849.79</v>
      </c>
      <c r="X42" s="32">
        <f>SUMIFS(ecommerce_sales_1000_records!$E:Z,ecommerce_sales_1000_records!$G:AB,X$41,ecommerce_sales_1000_records!$C:X,MTD!$A42)</f>
        <v>7103.43</v>
      </c>
      <c r="Y42" s="32">
        <f>SUMIFS(ecommerce_sales_1000_records!$E:AA,ecommerce_sales_1000_records!$G:AC,Y$41,ecommerce_sales_1000_records!$C:Y,MTD!$A42)</f>
        <v>4531.4799999999996</v>
      </c>
      <c r="Z42" s="32">
        <f>SUMIFS(ecommerce_sales_1000_records!$E:AB,ecommerce_sales_1000_records!$G:AD,Z$41,ecommerce_sales_1000_records!$C:Z,MTD!$A42)</f>
        <v>0</v>
      </c>
      <c r="AA42" s="32">
        <f>SUMIFS(ecommerce_sales_1000_records!$E:AC,ecommerce_sales_1000_records!$G:AE,AA$41,ecommerce_sales_1000_records!$C:AA,MTD!$A42)</f>
        <v>0</v>
      </c>
      <c r="AB42" s="32">
        <f>SUMIFS(ecommerce_sales_1000_records!$E:AD,ecommerce_sales_1000_records!$G:AF,AB$41,ecommerce_sales_1000_records!$C:AB,MTD!$A42)</f>
        <v>3412.13</v>
      </c>
      <c r="AC42" s="32">
        <f>SUMIFS(ecommerce_sales_1000_records!$E:AE,ecommerce_sales_1000_records!$G:AG,AC$41,ecommerce_sales_1000_records!$C:AC,MTD!$A42)</f>
        <v>5472.63</v>
      </c>
      <c r="AD42" s="32">
        <f>SUMIFS(ecommerce_sales_1000_records!$E:AF,ecommerce_sales_1000_records!$G:AH,AD$41,ecommerce_sales_1000_records!$C:AD,MTD!$A42)</f>
        <v>1902.89</v>
      </c>
      <c r="AE42" s="32">
        <f>SUMIFS(ecommerce_sales_1000_records!$E:AG,ecommerce_sales_1000_records!$G:AI,AE$41,ecommerce_sales_1000_records!$C:AE,MTD!$A42)</f>
        <v>0</v>
      </c>
      <c r="AF42" s="32">
        <f>SUMIFS(ecommerce_sales_1000_records!$E:AH,ecommerce_sales_1000_records!$G:AJ,AF$41,ecommerce_sales_1000_records!$C:AF,MTD!$A42)</f>
        <v>0</v>
      </c>
      <c r="AG42" s="32"/>
    </row>
    <row r="43" spans="1:33" ht="15" customHeight="1" x14ac:dyDescent="0.25">
      <c r="A43" s="30" t="s">
        <v>13</v>
      </c>
      <c r="B43" s="31">
        <f t="shared" ref="B43:B46" si="125">SUM(C43:AG43)</f>
        <v>735069.27</v>
      </c>
      <c r="C43" s="32">
        <f>SUMIFS(ecommerce_sales_1000_records!$E:E,ecommerce_sales_1000_records!$G:G,C$41,ecommerce_sales_1000_records!$C:C,MTD!$A43)</f>
        <v>60659.47</v>
      </c>
      <c r="D43" s="32">
        <f>SUMIFS(ecommerce_sales_1000_records!$E:F,ecommerce_sales_1000_records!$G:H,D$41,ecommerce_sales_1000_records!$C:D,MTD!$A43)</f>
        <v>71106.81</v>
      </c>
      <c r="E43" s="32">
        <f>SUMIFS(ecommerce_sales_1000_records!$E:G,ecommerce_sales_1000_records!$G:I,E$41,ecommerce_sales_1000_records!$C:E,MTD!$A43)</f>
        <v>0</v>
      </c>
      <c r="F43" s="32">
        <f>SUMIFS(ecommerce_sales_1000_records!$E:H,ecommerce_sales_1000_records!$G:J,F$41,ecommerce_sales_1000_records!$C:F,MTD!$A43)</f>
        <v>0</v>
      </c>
      <c r="G43" s="32">
        <f>SUMIFS(ecommerce_sales_1000_records!$E:I,ecommerce_sales_1000_records!$G:K,G$41,ecommerce_sales_1000_records!$C:G,MTD!$A43)</f>
        <v>27615.41</v>
      </c>
      <c r="H43" s="32">
        <f>SUMIFS(ecommerce_sales_1000_records!$E:J,ecommerce_sales_1000_records!$G:L,H$41,ecommerce_sales_1000_records!$C:H,MTD!$A43)</f>
        <v>0</v>
      </c>
      <c r="I43" s="32">
        <f>SUMIFS(ecommerce_sales_1000_records!$E:K,ecommerce_sales_1000_records!$G:M,I$41,ecommerce_sales_1000_records!$C:I,MTD!$A43)</f>
        <v>53815.09</v>
      </c>
      <c r="J43" s="32">
        <f>SUMIFS(ecommerce_sales_1000_records!$E:L,ecommerce_sales_1000_records!$G:N,J$41,ecommerce_sales_1000_records!$C:J,MTD!$A43)</f>
        <v>34474.46</v>
      </c>
      <c r="K43" s="32">
        <f>SUMIFS(ecommerce_sales_1000_records!$E:M,ecommerce_sales_1000_records!$G:O,K$41,ecommerce_sales_1000_records!$C:K,MTD!$A43)</f>
        <v>0</v>
      </c>
      <c r="L43" s="32">
        <f>SUMIFS(ecommerce_sales_1000_records!$E:N,ecommerce_sales_1000_records!$G:P,L$41,ecommerce_sales_1000_records!$C:L,MTD!$A43)</f>
        <v>16483.68</v>
      </c>
      <c r="M43" s="32">
        <f>SUMIFS(ecommerce_sales_1000_records!$E:O,ecommerce_sales_1000_records!$G:Q,M$41,ecommerce_sales_1000_records!$C:M,MTD!$A43)</f>
        <v>0</v>
      </c>
      <c r="N43" s="32">
        <f>SUMIFS(ecommerce_sales_1000_records!$E:P,ecommerce_sales_1000_records!$G:R,N$41,ecommerce_sales_1000_records!$C:N,MTD!$A43)</f>
        <v>86736.89</v>
      </c>
      <c r="O43" s="32">
        <f>SUMIFS(ecommerce_sales_1000_records!$E:Q,ecommerce_sales_1000_records!$G:S,O$41,ecommerce_sales_1000_records!$C:O,MTD!$A43)</f>
        <v>0</v>
      </c>
      <c r="P43" s="32">
        <f>SUMIFS(ecommerce_sales_1000_records!$E:R,ecommerce_sales_1000_records!$G:T,P$41,ecommerce_sales_1000_records!$C:P,MTD!$A43)</f>
        <v>16530.02</v>
      </c>
      <c r="Q43" s="32">
        <f>SUMIFS(ecommerce_sales_1000_records!$E:S,ecommerce_sales_1000_records!$G:U,Q$41,ecommerce_sales_1000_records!$C:Q,MTD!$A43)</f>
        <v>59358.770000000004</v>
      </c>
      <c r="R43" s="32">
        <f>SUMIFS(ecommerce_sales_1000_records!$E:T,ecommerce_sales_1000_records!$G:V,R$41,ecommerce_sales_1000_records!$C:R,MTD!$A43)</f>
        <v>3587.0699999999997</v>
      </c>
      <c r="S43" s="32">
        <f>SUMIFS(ecommerce_sales_1000_records!$E:U,ecommerce_sales_1000_records!$G:W,S$41,ecommerce_sales_1000_records!$C:S,MTD!$A43)</f>
        <v>1639.15</v>
      </c>
      <c r="T43" s="32">
        <f>SUMIFS(ecommerce_sales_1000_records!$E:V,ecommerce_sales_1000_records!$G:X,T$41,ecommerce_sales_1000_records!$C:T,MTD!$A43)</f>
        <v>26795.56</v>
      </c>
      <c r="U43" s="32">
        <f>SUMIFS(ecommerce_sales_1000_records!$E:W,ecommerce_sales_1000_records!$G:Y,U$41,ecommerce_sales_1000_records!$C:U,MTD!$A43)</f>
        <v>19752.55</v>
      </c>
      <c r="V43" s="32">
        <f>SUMIFS(ecommerce_sales_1000_records!$E:X,ecommerce_sales_1000_records!$G:Z,V$41,ecommerce_sales_1000_records!$C:V,MTD!$A43)</f>
        <v>0</v>
      </c>
      <c r="W43" s="32">
        <f>SUMIFS(ecommerce_sales_1000_records!$E:Y,ecommerce_sales_1000_records!$G:AA,W$41,ecommerce_sales_1000_records!$C:W,MTD!$A43)</f>
        <v>0</v>
      </c>
      <c r="X43" s="32">
        <f>SUMIFS(ecommerce_sales_1000_records!$E:Z,ecommerce_sales_1000_records!$G:AB,X$41,ecommerce_sales_1000_records!$C:X,MTD!$A43)</f>
        <v>1526.14</v>
      </c>
      <c r="Y43" s="32">
        <f>SUMIFS(ecommerce_sales_1000_records!$E:AA,ecommerce_sales_1000_records!$G:AC,Y$41,ecommerce_sales_1000_records!$C:Y,MTD!$A43)</f>
        <v>20722.900000000001</v>
      </c>
      <c r="Z43" s="32">
        <f>SUMIFS(ecommerce_sales_1000_records!$E:AB,ecommerce_sales_1000_records!$G:AD,Z$41,ecommerce_sales_1000_records!$C:Z,MTD!$A43)</f>
        <v>55383.33</v>
      </c>
      <c r="AA43" s="32">
        <f>SUMIFS(ecommerce_sales_1000_records!$E:AC,ecommerce_sales_1000_records!$G:AE,AA$41,ecommerce_sales_1000_records!$C:AA,MTD!$A43)</f>
        <v>21059.829999999998</v>
      </c>
      <c r="AB43" s="32">
        <f>SUMIFS(ecommerce_sales_1000_records!$E:AD,ecommerce_sales_1000_records!$G:AF,AB$41,ecommerce_sales_1000_records!$C:AB,MTD!$A43)</f>
        <v>101671.14000000001</v>
      </c>
      <c r="AC43" s="32">
        <f>SUMIFS(ecommerce_sales_1000_records!$E:AE,ecommerce_sales_1000_records!$G:AG,AC$41,ecommerce_sales_1000_records!$C:AC,MTD!$A43)</f>
        <v>1385.08</v>
      </c>
      <c r="AD43" s="32">
        <f>SUMIFS(ecommerce_sales_1000_records!$E:AF,ecommerce_sales_1000_records!$G:AH,AD$41,ecommerce_sales_1000_records!$C:AD,MTD!$A43)</f>
        <v>28897.040000000001</v>
      </c>
      <c r="AE43" s="32">
        <f>SUMIFS(ecommerce_sales_1000_records!$E:AG,ecommerce_sales_1000_records!$G:AI,AE$41,ecommerce_sales_1000_records!$C:AE,MTD!$A43)</f>
        <v>25868.880000000001</v>
      </c>
      <c r="AF43" s="32">
        <f>SUMIFS(ecommerce_sales_1000_records!$E:AH,ecommerce_sales_1000_records!$G:AJ,AF$41,ecommerce_sales_1000_records!$C:AF,MTD!$A43)</f>
        <v>0</v>
      </c>
      <c r="AG43" s="32"/>
    </row>
    <row r="44" spans="1:33" ht="15" customHeight="1" x14ac:dyDescent="0.25">
      <c r="A44" s="30" t="s">
        <v>17</v>
      </c>
      <c r="B44" s="31">
        <f t="shared" si="125"/>
        <v>6671.46</v>
      </c>
      <c r="C44" s="32">
        <f>SUMIFS(ecommerce_sales_1000_records!$E:E,ecommerce_sales_1000_records!$G:G,C$41,ecommerce_sales_1000_records!$C:C,MTD!$A44)</f>
        <v>407.43</v>
      </c>
      <c r="D44" s="32">
        <f>SUMIFS(ecommerce_sales_1000_records!$E:F,ecommerce_sales_1000_records!$G:H,D$41,ecommerce_sales_1000_records!$C:D,MTD!$A44)</f>
        <v>476.71</v>
      </c>
      <c r="E44" s="32">
        <f>SUMIFS(ecommerce_sales_1000_records!$E:G,ecommerce_sales_1000_records!$G:I,E$41,ecommerce_sales_1000_records!$C:E,MTD!$A44)</f>
        <v>0</v>
      </c>
      <c r="F44" s="32">
        <f>SUMIFS(ecommerce_sales_1000_records!$E:H,ecommerce_sales_1000_records!$G:J,F$41,ecommerce_sales_1000_records!$C:F,MTD!$A44)</f>
        <v>431.54</v>
      </c>
      <c r="G44" s="32">
        <f>SUMIFS(ecommerce_sales_1000_records!$E:I,ecommerce_sales_1000_records!$G:K,G$41,ecommerce_sales_1000_records!$C:G,MTD!$A44)</f>
        <v>0</v>
      </c>
      <c r="H44" s="32">
        <f>SUMIFS(ecommerce_sales_1000_records!$E:J,ecommerce_sales_1000_records!$G:L,H$41,ecommerce_sales_1000_records!$C:H,MTD!$A44)</f>
        <v>420.3</v>
      </c>
      <c r="I44" s="32">
        <f>SUMIFS(ecommerce_sales_1000_records!$E:K,ecommerce_sales_1000_records!$G:M,I$41,ecommerce_sales_1000_records!$C:I,MTD!$A44)</f>
        <v>0</v>
      </c>
      <c r="J44" s="32">
        <f>SUMIFS(ecommerce_sales_1000_records!$E:L,ecommerce_sales_1000_records!$G:N,J$41,ecommerce_sales_1000_records!$C:J,MTD!$A44)</f>
        <v>0</v>
      </c>
      <c r="K44" s="32">
        <f>SUMIFS(ecommerce_sales_1000_records!$E:M,ecommerce_sales_1000_records!$G:O,K$41,ecommerce_sales_1000_records!$C:K,MTD!$A44)</f>
        <v>410.91</v>
      </c>
      <c r="L44" s="32">
        <f>SUMIFS(ecommerce_sales_1000_records!$E:N,ecommerce_sales_1000_records!$G:P,L$41,ecommerce_sales_1000_records!$C:L,MTD!$A44)</f>
        <v>0</v>
      </c>
      <c r="M44" s="32">
        <f>SUMIFS(ecommerce_sales_1000_records!$E:O,ecommerce_sales_1000_records!$G:Q,M$41,ecommerce_sales_1000_records!$C:M,MTD!$A44)</f>
        <v>0</v>
      </c>
      <c r="N44" s="32">
        <f>SUMIFS(ecommerce_sales_1000_records!$E:P,ecommerce_sales_1000_records!$G:R,N$41,ecommerce_sales_1000_records!$C:N,MTD!$A44)</f>
        <v>443.07</v>
      </c>
      <c r="O44" s="32">
        <f>SUMIFS(ecommerce_sales_1000_records!$E:Q,ecommerce_sales_1000_records!$G:S,O$41,ecommerce_sales_1000_records!$C:O,MTD!$A44)</f>
        <v>0</v>
      </c>
      <c r="P44" s="32">
        <f>SUMIFS(ecommerce_sales_1000_records!$E:R,ecommerce_sales_1000_records!$G:T,P$41,ecommerce_sales_1000_records!$C:P,MTD!$A44)</f>
        <v>0</v>
      </c>
      <c r="Q44" s="32">
        <f>SUMIFS(ecommerce_sales_1000_records!$E:S,ecommerce_sales_1000_records!$G:U,Q$41,ecommerce_sales_1000_records!$C:Q,MTD!$A44)</f>
        <v>0</v>
      </c>
      <c r="R44" s="32">
        <f>SUMIFS(ecommerce_sales_1000_records!$E:T,ecommerce_sales_1000_records!$G:V,R$41,ecommerce_sales_1000_records!$C:R,MTD!$A44)</f>
        <v>0</v>
      </c>
      <c r="S44" s="32">
        <f>SUMIFS(ecommerce_sales_1000_records!$E:U,ecommerce_sales_1000_records!$G:W,S$41,ecommerce_sales_1000_records!$C:S,MTD!$A44)</f>
        <v>487.51</v>
      </c>
      <c r="T44" s="32">
        <f>SUMIFS(ecommerce_sales_1000_records!$E:V,ecommerce_sales_1000_records!$G:X,T$41,ecommerce_sales_1000_records!$C:T,MTD!$A44)</f>
        <v>0</v>
      </c>
      <c r="U44" s="32">
        <f>SUMIFS(ecommerce_sales_1000_records!$E:W,ecommerce_sales_1000_records!$G:Y,U$41,ecommerce_sales_1000_records!$C:U,MTD!$A44)</f>
        <v>458.45</v>
      </c>
      <c r="V44" s="32">
        <f>SUMIFS(ecommerce_sales_1000_records!$E:X,ecommerce_sales_1000_records!$G:Z,V$41,ecommerce_sales_1000_records!$C:V,MTD!$A44)</f>
        <v>0</v>
      </c>
      <c r="W44" s="32">
        <f>SUMIFS(ecommerce_sales_1000_records!$E:Y,ecommerce_sales_1000_records!$G:AA,W$41,ecommerce_sales_1000_records!$C:W,MTD!$A44)</f>
        <v>422.49</v>
      </c>
      <c r="X44" s="32">
        <f>SUMIFS(ecommerce_sales_1000_records!$E:Z,ecommerce_sales_1000_records!$G:AB,X$41,ecommerce_sales_1000_records!$C:X,MTD!$A44)</f>
        <v>463.49</v>
      </c>
      <c r="Y44" s="32">
        <f>SUMIFS(ecommerce_sales_1000_records!$E:AA,ecommerce_sales_1000_records!$G:AC,Y$41,ecommerce_sales_1000_records!$C:Y,MTD!$A44)</f>
        <v>490.72</v>
      </c>
      <c r="Z44" s="32">
        <f>SUMIFS(ecommerce_sales_1000_records!$E:AB,ecommerce_sales_1000_records!$G:AD,Z$41,ecommerce_sales_1000_records!$C:Z,MTD!$A44)</f>
        <v>0</v>
      </c>
      <c r="AA44" s="32">
        <f>SUMIFS(ecommerce_sales_1000_records!$E:AC,ecommerce_sales_1000_records!$G:AE,AA$41,ecommerce_sales_1000_records!$C:AA,MTD!$A44)</f>
        <v>414.17</v>
      </c>
      <c r="AB44" s="32">
        <f>SUMIFS(ecommerce_sales_1000_records!$E:AD,ecommerce_sales_1000_records!$G:AF,AB$41,ecommerce_sales_1000_records!$C:AB,MTD!$A44)</f>
        <v>462.5</v>
      </c>
      <c r="AC44" s="32">
        <f>SUMIFS(ecommerce_sales_1000_records!$E:AE,ecommerce_sales_1000_records!$G:AG,AC$41,ecommerce_sales_1000_records!$C:AC,MTD!$A44)</f>
        <v>418.88</v>
      </c>
      <c r="AD44" s="32">
        <f>SUMIFS(ecommerce_sales_1000_records!$E:AF,ecommerce_sales_1000_records!$G:AH,AD$41,ecommerce_sales_1000_records!$C:AD,MTD!$A44)</f>
        <v>0</v>
      </c>
      <c r="AE44" s="32">
        <f>SUMIFS(ecommerce_sales_1000_records!$E:AG,ecommerce_sales_1000_records!$G:AI,AE$41,ecommerce_sales_1000_records!$C:AE,MTD!$A44)</f>
        <v>463.29</v>
      </c>
      <c r="AF44" s="32">
        <f>SUMIFS(ecommerce_sales_1000_records!$E:AH,ecommerce_sales_1000_records!$G:AJ,AF$41,ecommerce_sales_1000_records!$C:AF,MTD!$A44)</f>
        <v>0</v>
      </c>
      <c r="AG44" s="32"/>
    </row>
    <row r="45" spans="1:33" ht="15" customHeight="1" x14ac:dyDescent="0.25">
      <c r="A45" s="30" t="s">
        <v>25</v>
      </c>
      <c r="B45" s="31">
        <f t="shared" si="125"/>
        <v>54274.889999999992</v>
      </c>
      <c r="C45" s="32">
        <f>SUMIFS(ecommerce_sales_1000_records!$E:E,ecommerce_sales_1000_records!$G:G,C$41,ecommerce_sales_1000_records!$C:C,MTD!$A45)</f>
        <v>0</v>
      </c>
      <c r="D45" s="32">
        <f>SUMIFS(ecommerce_sales_1000_records!$E:F,ecommerce_sales_1000_records!$G:H,D$41,ecommerce_sales_1000_records!$C:D,MTD!$A45)</f>
        <v>2274.36</v>
      </c>
      <c r="E45" s="32">
        <f>SUMIFS(ecommerce_sales_1000_records!$E:G,ecommerce_sales_1000_records!$G:I,E$41,ecommerce_sales_1000_records!$C:E,MTD!$A45)</f>
        <v>0</v>
      </c>
      <c r="F45" s="32">
        <f>SUMIFS(ecommerce_sales_1000_records!$E:H,ecommerce_sales_1000_records!$G:J,F$41,ecommerce_sales_1000_records!$C:F,MTD!$A45)</f>
        <v>2059.6999999999998</v>
      </c>
      <c r="G45" s="32">
        <f>SUMIFS(ecommerce_sales_1000_records!$E:I,ecommerce_sales_1000_records!$G:K,G$41,ecommerce_sales_1000_records!$C:G,MTD!$A45)</f>
        <v>823.74</v>
      </c>
      <c r="H45" s="32">
        <f>SUMIFS(ecommerce_sales_1000_records!$E:J,ecommerce_sales_1000_records!$G:L,H$41,ecommerce_sales_1000_records!$C:H,MTD!$A45)</f>
        <v>3257.78</v>
      </c>
      <c r="I45" s="32">
        <f>SUMIFS(ecommerce_sales_1000_records!$E:K,ecommerce_sales_1000_records!$G:M,I$41,ecommerce_sales_1000_records!$C:I,MTD!$A45)</f>
        <v>4965.96</v>
      </c>
      <c r="J45" s="32">
        <f>SUMIFS(ecommerce_sales_1000_records!$E:L,ecommerce_sales_1000_records!$G:N,J$41,ecommerce_sales_1000_records!$C:J,MTD!$A45)</f>
        <v>2429.4299999999998</v>
      </c>
      <c r="K45" s="32">
        <f>SUMIFS(ecommerce_sales_1000_records!$E:M,ecommerce_sales_1000_records!$G:O,K$41,ecommerce_sales_1000_records!$C:K,MTD!$A45)</f>
        <v>793.68</v>
      </c>
      <c r="L45" s="32">
        <f>SUMIFS(ecommerce_sales_1000_records!$E:N,ecommerce_sales_1000_records!$G:P,L$41,ecommerce_sales_1000_records!$C:L,MTD!$A45)</f>
        <v>4346.42</v>
      </c>
      <c r="M45" s="32">
        <f>SUMIFS(ecommerce_sales_1000_records!$E:O,ecommerce_sales_1000_records!$G:Q,M$41,ecommerce_sales_1000_records!$C:M,MTD!$A45)</f>
        <v>2074.62</v>
      </c>
      <c r="N45" s="32">
        <f>SUMIFS(ecommerce_sales_1000_records!$E:P,ecommerce_sales_1000_records!$G:R,N$41,ecommerce_sales_1000_records!$C:N,MTD!$A45)</f>
        <v>1850.84</v>
      </c>
      <c r="O45" s="32">
        <f>SUMIFS(ecommerce_sales_1000_records!$E:Q,ecommerce_sales_1000_records!$G:S,O$41,ecommerce_sales_1000_records!$C:O,MTD!$A45)</f>
        <v>2736.84</v>
      </c>
      <c r="P45" s="32">
        <f>SUMIFS(ecommerce_sales_1000_records!$E:R,ecommerce_sales_1000_records!$G:T,P$41,ecommerce_sales_1000_records!$C:P,MTD!$A45)</f>
        <v>1595.6100000000001</v>
      </c>
      <c r="Q45" s="32">
        <f>SUMIFS(ecommerce_sales_1000_records!$E:S,ecommerce_sales_1000_records!$G:U,Q$41,ecommerce_sales_1000_records!$C:Q,MTD!$A45)</f>
        <v>0</v>
      </c>
      <c r="R45" s="32">
        <f>SUMIFS(ecommerce_sales_1000_records!$E:T,ecommerce_sales_1000_records!$G:V,R$41,ecommerce_sales_1000_records!$C:R,MTD!$A45)</f>
        <v>864.19</v>
      </c>
      <c r="S45" s="32">
        <f>SUMIFS(ecommerce_sales_1000_records!$E:U,ecommerce_sales_1000_records!$G:W,S$41,ecommerce_sales_1000_records!$C:S,MTD!$A45)</f>
        <v>0</v>
      </c>
      <c r="T45" s="32">
        <f>SUMIFS(ecommerce_sales_1000_records!$E:V,ecommerce_sales_1000_records!$G:X,T$41,ecommerce_sales_1000_records!$C:T,MTD!$A45)</f>
        <v>2399.14</v>
      </c>
      <c r="U45" s="32">
        <f>SUMIFS(ecommerce_sales_1000_records!$E:W,ecommerce_sales_1000_records!$G:Y,U$41,ecommerce_sales_1000_records!$C:U,MTD!$A45)</f>
        <v>4644.9799999999996</v>
      </c>
      <c r="V45" s="32">
        <f>SUMIFS(ecommerce_sales_1000_records!$E:X,ecommerce_sales_1000_records!$G:Z,V$41,ecommerce_sales_1000_records!$C:V,MTD!$A45)</f>
        <v>2534.3200000000002</v>
      </c>
      <c r="W45" s="32">
        <f>SUMIFS(ecommerce_sales_1000_records!$E:Y,ecommerce_sales_1000_records!$G:AA,W$41,ecommerce_sales_1000_records!$C:W,MTD!$A45)</f>
        <v>2333.0100000000002</v>
      </c>
      <c r="X45" s="32">
        <f>SUMIFS(ecommerce_sales_1000_records!$E:Z,ecommerce_sales_1000_records!$G:AB,X$41,ecommerce_sales_1000_records!$C:X,MTD!$A45)</f>
        <v>2190.3000000000002</v>
      </c>
      <c r="Y45" s="32">
        <f>SUMIFS(ecommerce_sales_1000_records!$E:AA,ecommerce_sales_1000_records!$G:AC,Y$41,ecommerce_sales_1000_records!$C:Y,MTD!$A45)</f>
        <v>784.42</v>
      </c>
      <c r="Z45" s="32">
        <f>SUMIFS(ecommerce_sales_1000_records!$E:AB,ecommerce_sales_1000_records!$G:AD,Z$41,ecommerce_sales_1000_records!$C:Z,MTD!$A45)</f>
        <v>3358.21</v>
      </c>
      <c r="AA45" s="32">
        <f>SUMIFS(ecommerce_sales_1000_records!$E:AC,ecommerce_sales_1000_records!$G:AE,AA$41,ecommerce_sales_1000_records!$C:AA,MTD!$A45)</f>
        <v>0</v>
      </c>
      <c r="AB45" s="32">
        <f>SUMIFS(ecommerce_sales_1000_records!$E:AD,ecommerce_sales_1000_records!$G:AF,AB$41,ecommerce_sales_1000_records!$C:AB,MTD!$A45)</f>
        <v>0</v>
      </c>
      <c r="AC45" s="32">
        <f>SUMIFS(ecommerce_sales_1000_records!$E:AE,ecommerce_sales_1000_records!$G:AG,AC$41,ecommerce_sales_1000_records!$C:AC,MTD!$A45)</f>
        <v>0</v>
      </c>
      <c r="AD45" s="32">
        <f>SUMIFS(ecommerce_sales_1000_records!$E:AF,ecommerce_sales_1000_records!$G:AH,AD$41,ecommerce_sales_1000_records!$C:AD,MTD!$A45)</f>
        <v>3504.4900000000002</v>
      </c>
      <c r="AE45" s="32">
        <f>SUMIFS(ecommerce_sales_1000_records!$E:AG,ecommerce_sales_1000_records!$G:AI,AE$41,ecommerce_sales_1000_records!$C:AE,MTD!$A45)</f>
        <v>2452.85</v>
      </c>
      <c r="AF45" s="32">
        <f>SUMIFS(ecommerce_sales_1000_records!$E:AH,ecommerce_sales_1000_records!$G:AJ,AF$41,ecommerce_sales_1000_records!$C:AF,MTD!$A45)</f>
        <v>0</v>
      </c>
      <c r="AG45" s="32"/>
    </row>
    <row r="46" spans="1:33" ht="15" customHeight="1" x14ac:dyDescent="0.25">
      <c r="A46" s="30" t="s">
        <v>39</v>
      </c>
      <c r="B46" s="31">
        <f t="shared" si="125"/>
        <v>145698.11999999997</v>
      </c>
      <c r="C46" s="32">
        <f>SUMIFS(ecommerce_sales_1000_records!$E:E,ecommerce_sales_1000_records!$G:G,C$41,ecommerce_sales_1000_records!$C:C,MTD!$A46)</f>
        <v>0</v>
      </c>
      <c r="D46" s="32">
        <f>SUMIFS(ecommerce_sales_1000_records!$E:F,ecommerce_sales_1000_records!$G:H,D$41,ecommerce_sales_1000_records!$C:D,MTD!$A46)</f>
        <v>0</v>
      </c>
      <c r="E46" s="32">
        <f>SUMIFS(ecommerce_sales_1000_records!$E:G,ecommerce_sales_1000_records!$G:I,E$41,ecommerce_sales_1000_records!$C:E,MTD!$A46)</f>
        <v>3818.15</v>
      </c>
      <c r="F46" s="32">
        <f>SUMIFS(ecommerce_sales_1000_records!$E:H,ecommerce_sales_1000_records!$G:J,F$41,ecommerce_sales_1000_records!$C:F,MTD!$A46)</f>
        <v>3780.14</v>
      </c>
      <c r="G46" s="32">
        <f>SUMIFS(ecommerce_sales_1000_records!$E:I,ecommerce_sales_1000_records!$G:K,G$41,ecommerce_sales_1000_records!$C:G,MTD!$A46)</f>
        <v>6579.89</v>
      </c>
      <c r="H46" s="32">
        <f>SUMIFS(ecommerce_sales_1000_records!$E:J,ecommerce_sales_1000_records!$G:L,H$41,ecommerce_sales_1000_records!$C:H,MTD!$A46)</f>
        <v>0</v>
      </c>
      <c r="I46" s="32">
        <f>SUMIFS(ecommerce_sales_1000_records!$E:K,ecommerce_sales_1000_records!$G:M,I$41,ecommerce_sales_1000_records!$C:I,MTD!$A46)</f>
        <v>3658.77</v>
      </c>
      <c r="J46" s="32">
        <f>SUMIFS(ecommerce_sales_1000_records!$E:L,ecommerce_sales_1000_records!$G:N,J$41,ecommerce_sales_1000_records!$C:J,MTD!$A46)</f>
        <v>0</v>
      </c>
      <c r="K46" s="32">
        <f>SUMIFS(ecommerce_sales_1000_records!$E:M,ecommerce_sales_1000_records!$G:O,K$41,ecommerce_sales_1000_records!$C:K,MTD!$A46)</f>
        <v>4422.1000000000004</v>
      </c>
      <c r="L46" s="32">
        <f>SUMIFS(ecommerce_sales_1000_records!$E:N,ecommerce_sales_1000_records!$G:P,L$41,ecommerce_sales_1000_records!$C:L,MTD!$A46)</f>
        <v>14265.760000000002</v>
      </c>
      <c r="M46" s="32">
        <f>SUMIFS(ecommerce_sales_1000_records!$E:O,ecommerce_sales_1000_records!$G:Q,M$41,ecommerce_sales_1000_records!$C:M,MTD!$A46)</f>
        <v>6968.92</v>
      </c>
      <c r="N46" s="32">
        <f>SUMIFS(ecommerce_sales_1000_records!$E:P,ecommerce_sales_1000_records!$G:R,N$41,ecommerce_sales_1000_records!$C:N,MTD!$A46)</f>
        <v>6344.16</v>
      </c>
      <c r="O46" s="32">
        <f>SUMIFS(ecommerce_sales_1000_records!$E:Q,ecommerce_sales_1000_records!$G:S,O$41,ecommerce_sales_1000_records!$C:O,MTD!$A46)</f>
        <v>3228.92</v>
      </c>
      <c r="P46" s="32">
        <f>SUMIFS(ecommerce_sales_1000_records!$E:R,ecommerce_sales_1000_records!$G:T,P$41,ecommerce_sales_1000_records!$C:P,MTD!$A46)</f>
        <v>0</v>
      </c>
      <c r="Q46" s="32">
        <f>SUMIFS(ecommerce_sales_1000_records!$E:S,ecommerce_sales_1000_records!$G:U,Q$41,ecommerce_sales_1000_records!$C:Q,MTD!$A46)</f>
        <v>0</v>
      </c>
      <c r="R46" s="32">
        <f>SUMIFS(ecommerce_sales_1000_records!$E:T,ecommerce_sales_1000_records!$G:V,R$41,ecommerce_sales_1000_records!$C:R,MTD!$A46)</f>
        <v>0</v>
      </c>
      <c r="S46" s="32">
        <f>SUMIFS(ecommerce_sales_1000_records!$E:U,ecommerce_sales_1000_records!$G:W,S$41,ecommerce_sales_1000_records!$C:S,MTD!$A46)</f>
        <v>11376.01</v>
      </c>
      <c r="T46" s="32">
        <f>SUMIFS(ecommerce_sales_1000_records!$E:V,ecommerce_sales_1000_records!$G:X,T$41,ecommerce_sales_1000_records!$C:T,MTD!$A46)</f>
        <v>4574.1499999999996</v>
      </c>
      <c r="U46" s="32">
        <f>SUMIFS(ecommerce_sales_1000_records!$E:W,ecommerce_sales_1000_records!$G:Y,U$41,ecommerce_sales_1000_records!$C:U,MTD!$A46)</f>
        <v>6157.98</v>
      </c>
      <c r="V46" s="32">
        <f>SUMIFS(ecommerce_sales_1000_records!$E:X,ecommerce_sales_1000_records!$G:Z,V$41,ecommerce_sales_1000_records!$C:V,MTD!$A46)</f>
        <v>3576.18</v>
      </c>
      <c r="W46" s="32">
        <f>SUMIFS(ecommerce_sales_1000_records!$E:Y,ecommerce_sales_1000_records!$G:AA,W$41,ecommerce_sales_1000_records!$C:W,MTD!$A46)</f>
        <v>18361.879999999997</v>
      </c>
      <c r="X46" s="32">
        <f>SUMIFS(ecommerce_sales_1000_records!$E:Z,ecommerce_sales_1000_records!$G:AB,X$41,ecommerce_sales_1000_records!$C:X,MTD!$A46)</f>
        <v>9814.02</v>
      </c>
      <c r="Y46" s="32">
        <f>SUMIFS(ecommerce_sales_1000_records!$E:AA,ecommerce_sales_1000_records!$G:AC,Y$41,ecommerce_sales_1000_records!$C:Y,MTD!$A46)</f>
        <v>0</v>
      </c>
      <c r="Z46" s="32">
        <f>SUMIFS(ecommerce_sales_1000_records!$E:AB,ecommerce_sales_1000_records!$G:AD,Z$41,ecommerce_sales_1000_records!$C:Z,MTD!$A46)</f>
        <v>0</v>
      </c>
      <c r="AA46" s="32">
        <f>SUMIFS(ecommerce_sales_1000_records!$E:AC,ecommerce_sales_1000_records!$G:AE,AA$41,ecommerce_sales_1000_records!$C:AA,MTD!$A46)</f>
        <v>12601.04</v>
      </c>
      <c r="AB46" s="32">
        <f>SUMIFS(ecommerce_sales_1000_records!$E:AD,ecommerce_sales_1000_records!$G:AF,AB$41,ecommerce_sales_1000_records!$C:AB,MTD!$A46)</f>
        <v>0</v>
      </c>
      <c r="AC46" s="32">
        <f>SUMIFS(ecommerce_sales_1000_records!$E:AE,ecommerce_sales_1000_records!$G:AG,AC$41,ecommerce_sales_1000_records!$C:AC,MTD!$A46)</f>
        <v>6651.7800000000007</v>
      </c>
      <c r="AD46" s="32">
        <f>SUMIFS(ecommerce_sales_1000_records!$E:AF,ecommerce_sales_1000_records!$G:AH,AD$41,ecommerce_sales_1000_records!$C:AD,MTD!$A46)</f>
        <v>6202.47</v>
      </c>
      <c r="AE46" s="32">
        <f>SUMIFS(ecommerce_sales_1000_records!$E:AG,ecommerce_sales_1000_records!$G:AI,AE$41,ecommerce_sales_1000_records!$C:AE,MTD!$A46)</f>
        <v>13315.800000000001</v>
      </c>
      <c r="AF46" s="32">
        <f>SUMIFS(ecommerce_sales_1000_records!$E:AH,ecommerce_sales_1000_records!$G:AJ,AF$41,ecommerce_sales_1000_records!$C:AF,MTD!$A46)</f>
        <v>0</v>
      </c>
      <c r="AG46" s="32"/>
    </row>
    <row r="47" spans="1:33" ht="15" customHeight="1" x14ac:dyDescent="0.3">
      <c r="A47" s="14" t="s">
        <v>1038</v>
      </c>
      <c r="B47" s="19">
        <f>SUM(B42:B46)</f>
        <v>1052097.1299999999</v>
      </c>
      <c r="C47" s="31">
        <f t="shared" ref="C47" si="126">SUM(C42:C46)</f>
        <v>61066.9</v>
      </c>
      <c r="D47" s="31">
        <f t="shared" ref="D47" si="127">SUM(D42:D46)</f>
        <v>79265.700000000012</v>
      </c>
      <c r="E47" s="31">
        <f t="shared" ref="E47" si="128">SUM(E42:E46)</f>
        <v>5527.49</v>
      </c>
      <c r="F47" s="31">
        <f t="shared" ref="F47" si="129">SUM(F42:F46)</f>
        <v>8163.2199999999993</v>
      </c>
      <c r="G47" s="31">
        <f t="shared" ref="G47" si="130">SUM(G42:G46)</f>
        <v>36891.700000000004</v>
      </c>
      <c r="H47" s="31">
        <f t="shared" ref="H47" si="131">SUM(H42:H46)</f>
        <v>3678.0800000000004</v>
      </c>
      <c r="I47" s="31">
        <f t="shared" ref="I47" si="132">SUM(I42:I46)</f>
        <v>72812.08</v>
      </c>
      <c r="J47" s="31">
        <f t="shared" ref="J47" si="133">SUM(J42:J46)</f>
        <v>36903.89</v>
      </c>
      <c r="K47" s="31">
        <f t="shared" ref="K47" si="134">SUM(K42:K46)</f>
        <v>22703.010000000002</v>
      </c>
      <c r="L47" s="31">
        <f t="shared" ref="L47" si="135">SUM(L42:L46)</f>
        <v>42077.340000000004</v>
      </c>
      <c r="M47" s="31">
        <f t="shared" ref="M47" si="136">SUM(M42:M46)</f>
        <v>13774.45</v>
      </c>
      <c r="N47" s="31">
        <f t="shared" ref="N47" si="137">SUM(N42:N46)</f>
        <v>95374.96</v>
      </c>
      <c r="O47" s="31">
        <f t="shared" ref="O47" si="138">SUM(O42:O46)</f>
        <v>5965.76</v>
      </c>
      <c r="P47" s="31">
        <f t="shared" ref="P47" si="139">SUM(P42:P46)</f>
        <v>18125.63</v>
      </c>
      <c r="Q47" s="31">
        <f t="shared" ref="Q47" si="140">SUM(Q42:Q46)</f>
        <v>59358.770000000004</v>
      </c>
      <c r="R47" s="31">
        <f t="shared" ref="R47" si="141">SUM(R42:R46)</f>
        <v>9779</v>
      </c>
      <c r="S47" s="31">
        <f t="shared" ref="S47" si="142">SUM(S42:S46)</f>
        <v>18794.71</v>
      </c>
      <c r="T47" s="31">
        <f t="shared" ref="T47" si="143">SUM(T42:T46)</f>
        <v>37674.960000000006</v>
      </c>
      <c r="U47" s="31">
        <f t="shared" ref="U47" si="144">SUM(U42:U46)</f>
        <v>40463.78</v>
      </c>
      <c r="V47" s="31">
        <f t="shared" ref="V47" si="145">SUM(V42:V46)</f>
        <v>18203.2</v>
      </c>
      <c r="W47" s="31">
        <f t="shared" ref="W47" si="146">SUM(W42:W46)</f>
        <v>22967.17</v>
      </c>
      <c r="X47" s="31">
        <f t="shared" ref="X47" si="147">SUM(X42:X46)</f>
        <v>21097.38</v>
      </c>
      <c r="Y47" s="31">
        <f t="shared" ref="Y47" si="148">SUM(Y42:Y46)</f>
        <v>26529.52</v>
      </c>
      <c r="Z47" s="31">
        <f t="shared" ref="Z47" si="149">SUM(Z42:Z46)</f>
        <v>58741.54</v>
      </c>
      <c r="AA47" s="31">
        <f t="shared" ref="AA47" si="150">SUM(AA42:AA46)</f>
        <v>34075.039999999994</v>
      </c>
      <c r="AB47" s="31">
        <f t="shared" ref="AB47" si="151">SUM(AB42:AB46)</f>
        <v>105545.77000000002</v>
      </c>
      <c r="AC47" s="31">
        <f t="shared" ref="AC47" si="152">SUM(AC42:AC46)</f>
        <v>13928.37</v>
      </c>
      <c r="AD47" s="31">
        <f t="shared" ref="AD47" si="153">SUM(AD42:AD46)</f>
        <v>40506.89</v>
      </c>
      <c r="AE47" s="31">
        <f t="shared" ref="AE47" si="154">SUM(AE42:AE46)</f>
        <v>42100.82</v>
      </c>
      <c r="AF47" s="31">
        <f t="shared" ref="AF47:AG47" si="155">SUM(AF42:AF46)</f>
        <v>0</v>
      </c>
      <c r="AG47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5F7E-D421-4242-80DB-EDC30489E9D6}">
  <dimension ref="A1:G1001"/>
  <sheetViews>
    <sheetView workbookViewId="0">
      <selection activeCell="J15" sqref="J1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</v>
      </c>
      <c r="E2">
        <v>1629</v>
      </c>
      <c r="F2" t="s">
        <v>10</v>
      </c>
      <c r="G2" s="1">
        <v>46085</v>
      </c>
    </row>
    <row r="3" spans="1:7" x14ac:dyDescent="0.35">
      <c r="A3" t="s">
        <v>11</v>
      </c>
      <c r="B3" t="s">
        <v>12</v>
      </c>
      <c r="C3" t="s">
        <v>13</v>
      </c>
      <c r="D3">
        <v>2</v>
      </c>
      <c r="E3">
        <v>1570.94</v>
      </c>
      <c r="F3" t="s">
        <v>14</v>
      </c>
      <c r="G3" s="1">
        <v>46045</v>
      </c>
    </row>
    <row r="4" spans="1:7" x14ac:dyDescent="0.35">
      <c r="A4" t="s">
        <v>15</v>
      </c>
      <c r="B4" t="s">
        <v>16</v>
      </c>
      <c r="C4" t="s">
        <v>17</v>
      </c>
      <c r="D4">
        <v>4</v>
      </c>
      <c r="E4">
        <v>407.86</v>
      </c>
      <c r="F4" t="s">
        <v>18</v>
      </c>
      <c r="G4" s="1">
        <v>46078</v>
      </c>
    </row>
    <row r="5" spans="1:7" x14ac:dyDescent="0.35">
      <c r="A5" t="s">
        <v>19</v>
      </c>
      <c r="B5" t="s">
        <v>12</v>
      </c>
      <c r="C5" t="s">
        <v>13</v>
      </c>
      <c r="D5">
        <v>5</v>
      </c>
      <c r="E5">
        <v>1530.61</v>
      </c>
      <c r="F5" t="s">
        <v>14</v>
      </c>
      <c r="G5" s="1">
        <v>46073</v>
      </c>
    </row>
    <row r="6" spans="1:7" x14ac:dyDescent="0.35">
      <c r="A6" t="s">
        <v>20</v>
      </c>
      <c r="B6" t="s">
        <v>21</v>
      </c>
      <c r="C6" t="s">
        <v>13</v>
      </c>
      <c r="D6">
        <v>5</v>
      </c>
      <c r="E6">
        <v>27549.31</v>
      </c>
      <c r="F6" t="s">
        <v>22</v>
      </c>
      <c r="G6" s="1">
        <v>46173</v>
      </c>
    </row>
    <row r="7" spans="1:7" x14ac:dyDescent="0.35">
      <c r="A7" t="s">
        <v>23</v>
      </c>
      <c r="B7" t="s">
        <v>24</v>
      </c>
      <c r="C7" t="s">
        <v>25</v>
      </c>
      <c r="D7">
        <v>1</v>
      </c>
      <c r="E7">
        <v>840.36</v>
      </c>
      <c r="F7" t="s">
        <v>26</v>
      </c>
      <c r="G7" s="1">
        <v>46201</v>
      </c>
    </row>
    <row r="8" spans="1:7" x14ac:dyDescent="0.35">
      <c r="A8" t="s">
        <v>27</v>
      </c>
      <c r="B8" t="s">
        <v>28</v>
      </c>
      <c r="C8" t="s">
        <v>9</v>
      </c>
      <c r="D8">
        <v>3</v>
      </c>
      <c r="E8">
        <v>4776.92</v>
      </c>
      <c r="F8" t="s">
        <v>29</v>
      </c>
      <c r="G8" s="1">
        <v>46109</v>
      </c>
    </row>
    <row r="9" spans="1:7" x14ac:dyDescent="0.35">
      <c r="A9" t="s">
        <v>30</v>
      </c>
      <c r="B9" t="s">
        <v>31</v>
      </c>
      <c r="C9" t="s">
        <v>13</v>
      </c>
      <c r="D9">
        <v>1</v>
      </c>
      <c r="E9">
        <v>17567.740000000002</v>
      </c>
      <c r="F9" t="s">
        <v>32</v>
      </c>
      <c r="G9" s="1">
        <v>46111</v>
      </c>
    </row>
    <row r="10" spans="1:7" x14ac:dyDescent="0.35">
      <c r="A10" t="s">
        <v>33</v>
      </c>
      <c r="B10" t="s">
        <v>16</v>
      </c>
      <c r="C10" t="s">
        <v>17</v>
      </c>
      <c r="D10">
        <v>3</v>
      </c>
      <c r="E10">
        <v>477.64</v>
      </c>
      <c r="F10" t="s">
        <v>22</v>
      </c>
      <c r="G10" s="1">
        <v>46160</v>
      </c>
    </row>
    <row r="11" spans="1:7" x14ac:dyDescent="0.35">
      <c r="A11" t="s">
        <v>34</v>
      </c>
      <c r="B11" t="s">
        <v>31</v>
      </c>
      <c r="C11" t="s">
        <v>13</v>
      </c>
      <c r="D11">
        <v>4</v>
      </c>
      <c r="E11">
        <v>16483.68</v>
      </c>
      <c r="F11" t="s">
        <v>10</v>
      </c>
      <c r="G11" s="1">
        <v>46183</v>
      </c>
    </row>
    <row r="12" spans="1:7" x14ac:dyDescent="0.35">
      <c r="A12" t="s">
        <v>35</v>
      </c>
      <c r="B12" t="s">
        <v>16</v>
      </c>
      <c r="C12" t="s">
        <v>17</v>
      </c>
      <c r="D12">
        <v>3</v>
      </c>
      <c r="E12">
        <v>456.96</v>
      </c>
      <c r="F12" t="s">
        <v>18</v>
      </c>
      <c r="G12" s="1">
        <v>46034</v>
      </c>
    </row>
    <row r="13" spans="1:7" x14ac:dyDescent="0.35">
      <c r="A13" t="s">
        <v>36</v>
      </c>
      <c r="B13" t="s">
        <v>8</v>
      </c>
      <c r="C13" t="s">
        <v>9</v>
      </c>
      <c r="D13">
        <v>2</v>
      </c>
      <c r="E13">
        <v>1898.3</v>
      </c>
      <c r="F13" t="s">
        <v>18</v>
      </c>
      <c r="G13" s="1">
        <v>46082</v>
      </c>
    </row>
    <row r="14" spans="1:7" x14ac:dyDescent="0.35">
      <c r="A14" t="s">
        <v>37</v>
      </c>
      <c r="B14" t="s">
        <v>38</v>
      </c>
      <c r="C14" t="s">
        <v>39</v>
      </c>
      <c r="D14">
        <v>1</v>
      </c>
      <c r="E14">
        <v>6344.16</v>
      </c>
      <c r="F14" t="s">
        <v>22</v>
      </c>
      <c r="G14" s="1">
        <v>46185</v>
      </c>
    </row>
    <row r="15" spans="1:7" x14ac:dyDescent="0.35">
      <c r="A15" t="s">
        <v>40</v>
      </c>
      <c r="B15" t="s">
        <v>38</v>
      </c>
      <c r="C15" t="s">
        <v>39</v>
      </c>
      <c r="D15">
        <v>3</v>
      </c>
      <c r="E15">
        <v>6061.45</v>
      </c>
      <c r="F15" t="s">
        <v>32</v>
      </c>
      <c r="G15" s="1">
        <v>46076</v>
      </c>
    </row>
    <row r="16" spans="1:7" x14ac:dyDescent="0.35">
      <c r="A16" t="s">
        <v>41</v>
      </c>
      <c r="B16" t="s">
        <v>8</v>
      </c>
      <c r="C16" t="s">
        <v>9</v>
      </c>
      <c r="D16">
        <v>3</v>
      </c>
      <c r="E16">
        <v>1872.66</v>
      </c>
      <c r="F16" t="s">
        <v>18</v>
      </c>
      <c r="G16" s="1">
        <v>46178</v>
      </c>
    </row>
    <row r="17" spans="1:7" x14ac:dyDescent="0.35">
      <c r="A17" t="s">
        <v>42</v>
      </c>
      <c r="B17" t="s">
        <v>8</v>
      </c>
      <c r="C17" t="s">
        <v>9</v>
      </c>
      <c r="D17">
        <v>2</v>
      </c>
      <c r="E17">
        <v>1812.29</v>
      </c>
      <c r="F17" t="s">
        <v>29</v>
      </c>
      <c r="G17" s="1">
        <v>46064</v>
      </c>
    </row>
    <row r="18" spans="1:7" x14ac:dyDescent="0.35">
      <c r="A18" t="s">
        <v>43</v>
      </c>
      <c r="B18" t="s">
        <v>44</v>
      </c>
      <c r="C18" t="s">
        <v>39</v>
      </c>
      <c r="D18">
        <v>4</v>
      </c>
      <c r="E18">
        <v>3338.96</v>
      </c>
      <c r="F18" t="s">
        <v>14</v>
      </c>
      <c r="G18" s="1">
        <v>46079</v>
      </c>
    </row>
    <row r="19" spans="1:7" x14ac:dyDescent="0.35">
      <c r="A19" t="s">
        <v>45</v>
      </c>
      <c r="B19" t="s">
        <v>8</v>
      </c>
      <c r="C19" t="s">
        <v>9</v>
      </c>
      <c r="D19">
        <v>3</v>
      </c>
      <c r="E19">
        <v>1923.43</v>
      </c>
      <c r="F19" t="s">
        <v>46</v>
      </c>
      <c r="G19" s="1">
        <v>46081</v>
      </c>
    </row>
    <row r="20" spans="1:7" x14ac:dyDescent="0.35">
      <c r="A20" t="s">
        <v>47</v>
      </c>
      <c r="B20" t="s">
        <v>38</v>
      </c>
      <c r="C20" t="s">
        <v>39</v>
      </c>
      <c r="D20">
        <v>1</v>
      </c>
      <c r="E20">
        <v>6896.56</v>
      </c>
      <c r="F20" t="s">
        <v>48</v>
      </c>
      <c r="G20" s="1">
        <v>46091</v>
      </c>
    </row>
    <row r="21" spans="1:7" x14ac:dyDescent="0.35">
      <c r="A21" t="s">
        <v>49</v>
      </c>
      <c r="B21" t="s">
        <v>31</v>
      </c>
      <c r="C21" t="s">
        <v>13</v>
      </c>
      <c r="D21">
        <v>2</v>
      </c>
      <c r="E21">
        <v>19487.29</v>
      </c>
      <c r="F21" t="s">
        <v>50</v>
      </c>
      <c r="G21" s="1">
        <v>46103</v>
      </c>
    </row>
    <row r="22" spans="1:7" x14ac:dyDescent="0.35">
      <c r="A22" t="s">
        <v>51</v>
      </c>
      <c r="B22" t="s">
        <v>12</v>
      </c>
      <c r="C22" t="s">
        <v>13</v>
      </c>
      <c r="D22">
        <v>4</v>
      </c>
      <c r="E22">
        <v>1468.69</v>
      </c>
      <c r="F22" t="s">
        <v>22</v>
      </c>
      <c r="G22" s="1">
        <v>46059</v>
      </c>
    </row>
    <row r="23" spans="1:7" x14ac:dyDescent="0.35">
      <c r="A23" t="s">
        <v>52</v>
      </c>
      <c r="B23" t="s">
        <v>24</v>
      </c>
      <c r="C23" t="s">
        <v>25</v>
      </c>
      <c r="D23">
        <v>2</v>
      </c>
      <c r="E23">
        <v>758.51</v>
      </c>
      <c r="F23" t="s">
        <v>14</v>
      </c>
      <c r="G23" s="1">
        <v>46160</v>
      </c>
    </row>
    <row r="24" spans="1:7" x14ac:dyDescent="0.35">
      <c r="A24" t="s">
        <v>53</v>
      </c>
      <c r="B24" t="s">
        <v>24</v>
      </c>
      <c r="C24" t="s">
        <v>25</v>
      </c>
      <c r="D24">
        <v>5</v>
      </c>
      <c r="E24">
        <v>787.56</v>
      </c>
      <c r="F24" t="s">
        <v>50</v>
      </c>
      <c r="G24" s="1">
        <v>46125</v>
      </c>
    </row>
    <row r="25" spans="1:7" x14ac:dyDescent="0.35">
      <c r="A25" t="s">
        <v>54</v>
      </c>
      <c r="B25" t="s">
        <v>55</v>
      </c>
      <c r="C25" t="s">
        <v>25</v>
      </c>
      <c r="D25">
        <v>2</v>
      </c>
      <c r="E25">
        <v>2747.56</v>
      </c>
      <c r="F25" t="s">
        <v>26</v>
      </c>
      <c r="G25" s="1">
        <v>46153</v>
      </c>
    </row>
    <row r="26" spans="1:7" x14ac:dyDescent="0.35">
      <c r="A26" t="s">
        <v>56</v>
      </c>
      <c r="B26" t="s">
        <v>44</v>
      </c>
      <c r="C26" t="s">
        <v>39</v>
      </c>
      <c r="D26">
        <v>1</v>
      </c>
      <c r="E26">
        <v>3679.05</v>
      </c>
      <c r="F26" t="s">
        <v>18</v>
      </c>
      <c r="G26" s="1">
        <v>46062</v>
      </c>
    </row>
    <row r="27" spans="1:7" x14ac:dyDescent="0.35">
      <c r="A27" t="s">
        <v>57</v>
      </c>
      <c r="B27" t="s">
        <v>8</v>
      </c>
      <c r="C27" t="s">
        <v>9</v>
      </c>
      <c r="D27">
        <v>2</v>
      </c>
      <c r="E27">
        <v>1905.15</v>
      </c>
      <c r="F27" t="s">
        <v>48</v>
      </c>
      <c r="G27" s="1">
        <v>46175</v>
      </c>
    </row>
    <row r="28" spans="1:7" x14ac:dyDescent="0.35">
      <c r="A28" t="s">
        <v>58</v>
      </c>
      <c r="B28" t="s">
        <v>31</v>
      </c>
      <c r="C28" t="s">
        <v>13</v>
      </c>
      <c r="D28">
        <v>4</v>
      </c>
      <c r="E28">
        <v>17573.830000000002</v>
      </c>
      <c r="F28" t="s">
        <v>22</v>
      </c>
      <c r="G28" s="1">
        <v>46158</v>
      </c>
    </row>
    <row r="29" spans="1:7" x14ac:dyDescent="0.35">
      <c r="A29" t="s">
        <v>59</v>
      </c>
      <c r="B29" t="s">
        <v>24</v>
      </c>
      <c r="C29" t="s">
        <v>25</v>
      </c>
      <c r="D29">
        <v>5</v>
      </c>
      <c r="E29">
        <v>856.65</v>
      </c>
      <c r="F29" t="s">
        <v>46</v>
      </c>
      <c r="G29" s="1">
        <v>46197</v>
      </c>
    </row>
    <row r="30" spans="1:7" x14ac:dyDescent="0.35">
      <c r="A30" t="s">
        <v>60</v>
      </c>
      <c r="B30" t="s">
        <v>21</v>
      </c>
      <c r="C30" t="s">
        <v>13</v>
      </c>
      <c r="D30">
        <v>1</v>
      </c>
      <c r="E30">
        <v>29017.58</v>
      </c>
      <c r="F30" t="s">
        <v>14</v>
      </c>
      <c r="G30" s="1">
        <v>46091</v>
      </c>
    </row>
    <row r="31" spans="1:7" x14ac:dyDescent="0.35">
      <c r="A31" t="s">
        <v>61</v>
      </c>
      <c r="B31" t="s">
        <v>62</v>
      </c>
      <c r="C31" t="s">
        <v>25</v>
      </c>
      <c r="D31">
        <v>3</v>
      </c>
      <c r="E31">
        <v>1843.7</v>
      </c>
      <c r="F31" t="s">
        <v>48</v>
      </c>
      <c r="G31" s="1">
        <v>46063</v>
      </c>
    </row>
    <row r="32" spans="1:7" x14ac:dyDescent="0.35">
      <c r="A32" t="s">
        <v>63</v>
      </c>
      <c r="B32" t="s">
        <v>44</v>
      </c>
      <c r="C32" t="s">
        <v>39</v>
      </c>
      <c r="D32">
        <v>1</v>
      </c>
      <c r="E32">
        <v>3817.67</v>
      </c>
      <c r="F32" t="s">
        <v>10</v>
      </c>
      <c r="G32" s="1">
        <v>46151</v>
      </c>
    </row>
    <row r="33" spans="1:7" x14ac:dyDescent="0.35">
      <c r="A33" t="s">
        <v>64</v>
      </c>
      <c r="B33" t="s">
        <v>62</v>
      </c>
      <c r="C33" t="s">
        <v>25</v>
      </c>
      <c r="D33">
        <v>2</v>
      </c>
      <c r="E33">
        <v>2002.07</v>
      </c>
      <c r="F33" t="s">
        <v>18</v>
      </c>
      <c r="G33" s="1">
        <v>46183</v>
      </c>
    </row>
    <row r="34" spans="1:7" x14ac:dyDescent="0.35">
      <c r="A34" t="s">
        <v>65</v>
      </c>
      <c r="B34" t="s">
        <v>24</v>
      </c>
      <c r="C34" t="s">
        <v>25</v>
      </c>
      <c r="D34">
        <v>5</v>
      </c>
      <c r="E34">
        <v>816.41</v>
      </c>
      <c r="F34" t="s">
        <v>26</v>
      </c>
      <c r="G34" s="1">
        <v>46118</v>
      </c>
    </row>
    <row r="35" spans="1:7" x14ac:dyDescent="0.35">
      <c r="A35" t="s">
        <v>66</v>
      </c>
      <c r="B35" t="s">
        <v>62</v>
      </c>
      <c r="C35" t="s">
        <v>25</v>
      </c>
      <c r="D35">
        <v>2</v>
      </c>
      <c r="E35">
        <v>2014.74</v>
      </c>
      <c r="F35" t="s">
        <v>14</v>
      </c>
      <c r="G35" s="1">
        <v>46023</v>
      </c>
    </row>
    <row r="36" spans="1:7" x14ac:dyDescent="0.35">
      <c r="A36" t="s">
        <v>67</v>
      </c>
      <c r="B36" t="s">
        <v>16</v>
      </c>
      <c r="C36" t="s">
        <v>17</v>
      </c>
      <c r="D36">
        <v>3</v>
      </c>
      <c r="E36">
        <v>448.97</v>
      </c>
      <c r="F36" t="s">
        <v>18</v>
      </c>
      <c r="G36" s="1">
        <v>46115</v>
      </c>
    </row>
    <row r="37" spans="1:7" x14ac:dyDescent="0.35">
      <c r="A37" t="s">
        <v>68</v>
      </c>
      <c r="B37" t="s">
        <v>38</v>
      </c>
      <c r="C37" t="s">
        <v>39</v>
      </c>
      <c r="D37">
        <v>3</v>
      </c>
      <c r="E37">
        <v>6161.29</v>
      </c>
      <c r="F37" t="s">
        <v>29</v>
      </c>
      <c r="G37" s="1">
        <v>46168</v>
      </c>
    </row>
    <row r="38" spans="1:7" x14ac:dyDescent="0.35">
      <c r="A38" t="s">
        <v>69</v>
      </c>
      <c r="B38" t="s">
        <v>31</v>
      </c>
      <c r="C38" t="s">
        <v>13</v>
      </c>
      <c r="D38">
        <v>1</v>
      </c>
      <c r="E38">
        <v>18834.87</v>
      </c>
      <c r="F38" t="s">
        <v>18</v>
      </c>
      <c r="G38" s="1">
        <v>46159</v>
      </c>
    </row>
    <row r="39" spans="1:7" x14ac:dyDescent="0.35">
      <c r="A39" t="s">
        <v>70</v>
      </c>
      <c r="B39" t="s">
        <v>62</v>
      </c>
      <c r="C39" t="s">
        <v>25</v>
      </c>
      <c r="D39">
        <v>2</v>
      </c>
      <c r="E39">
        <v>1850.43</v>
      </c>
      <c r="F39" t="s">
        <v>22</v>
      </c>
      <c r="G39" s="1">
        <v>46163</v>
      </c>
    </row>
    <row r="40" spans="1:7" x14ac:dyDescent="0.35">
      <c r="A40" t="s">
        <v>71</v>
      </c>
      <c r="B40" t="s">
        <v>72</v>
      </c>
      <c r="C40" t="s">
        <v>13</v>
      </c>
      <c r="D40">
        <v>3</v>
      </c>
      <c r="E40">
        <v>2212.1799999999998</v>
      </c>
      <c r="F40" t="s">
        <v>50</v>
      </c>
      <c r="G40" s="1">
        <v>46131</v>
      </c>
    </row>
    <row r="41" spans="1:7" x14ac:dyDescent="0.35">
      <c r="A41" t="s">
        <v>73</v>
      </c>
      <c r="B41" t="s">
        <v>12</v>
      </c>
      <c r="C41" t="s">
        <v>13</v>
      </c>
      <c r="D41">
        <v>5</v>
      </c>
      <c r="E41">
        <v>1576.58</v>
      </c>
      <c r="F41" t="s">
        <v>29</v>
      </c>
      <c r="G41" s="1">
        <v>46102</v>
      </c>
    </row>
    <row r="42" spans="1:7" x14ac:dyDescent="0.35">
      <c r="A42" t="s">
        <v>74</v>
      </c>
      <c r="B42" t="s">
        <v>28</v>
      </c>
      <c r="C42" t="s">
        <v>9</v>
      </c>
      <c r="D42">
        <v>3</v>
      </c>
      <c r="E42">
        <v>4937.1099999999997</v>
      </c>
      <c r="F42" t="s">
        <v>14</v>
      </c>
      <c r="G42" s="1">
        <v>46138</v>
      </c>
    </row>
    <row r="43" spans="1:7" x14ac:dyDescent="0.35">
      <c r="A43" t="s">
        <v>75</v>
      </c>
      <c r="B43" t="s">
        <v>31</v>
      </c>
      <c r="C43" t="s">
        <v>13</v>
      </c>
      <c r="D43">
        <v>2</v>
      </c>
      <c r="E43">
        <v>17008.91</v>
      </c>
      <c r="F43" t="s">
        <v>32</v>
      </c>
      <c r="G43" s="1">
        <v>46028</v>
      </c>
    </row>
    <row r="44" spans="1:7" x14ac:dyDescent="0.35">
      <c r="A44" t="s">
        <v>76</v>
      </c>
      <c r="B44" t="s">
        <v>16</v>
      </c>
      <c r="C44" t="s">
        <v>17</v>
      </c>
      <c r="D44">
        <v>5</v>
      </c>
      <c r="E44">
        <v>425.71</v>
      </c>
      <c r="F44" t="s">
        <v>29</v>
      </c>
      <c r="G44" s="1">
        <v>46024</v>
      </c>
    </row>
    <row r="45" spans="1:7" x14ac:dyDescent="0.35">
      <c r="A45" t="s">
        <v>77</v>
      </c>
      <c r="B45" t="s">
        <v>31</v>
      </c>
      <c r="C45" t="s">
        <v>13</v>
      </c>
      <c r="D45">
        <v>1</v>
      </c>
      <c r="E45">
        <v>17024.189999999999</v>
      </c>
      <c r="F45" t="s">
        <v>46</v>
      </c>
      <c r="G45" s="1">
        <v>46107</v>
      </c>
    </row>
    <row r="46" spans="1:7" x14ac:dyDescent="0.35">
      <c r="A46" t="s">
        <v>78</v>
      </c>
      <c r="B46" t="s">
        <v>31</v>
      </c>
      <c r="C46" t="s">
        <v>13</v>
      </c>
      <c r="D46">
        <v>5</v>
      </c>
      <c r="E46">
        <v>17056.82</v>
      </c>
      <c r="F46" t="s">
        <v>22</v>
      </c>
      <c r="G46" s="1">
        <v>46077</v>
      </c>
    </row>
    <row r="47" spans="1:7" x14ac:dyDescent="0.35">
      <c r="A47" t="s">
        <v>79</v>
      </c>
      <c r="B47" t="s">
        <v>80</v>
      </c>
      <c r="C47" t="s">
        <v>39</v>
      </c>
      <c r="D47">
        <v>2</v>
      </c>
      <c r="E47">
        <v>4387.62</v>
      </c>
      <c r="F47" t="s">
        <v>50</v>
      </c>
      <c r="G47" s="1">
        <v>46170</v>
      </c>
    </row>
    <row r="48" spans="1:7" x14ac:dyDescent="0.35">
      <c r="A48" t="s">
        <v>81</v>
      </c>
      <c r="B48" t="s">
        <v>44</v>
      </c>
      <c r="C48" t="s">
        <v>39</v>
      </c>
      <c r="D48">
        <v>2</v>
      </c>
      <c r="E48">
        <v>3699.23</v>
      </c>
      <c r="F48" t="s">
        <v>48</v>
      </c>
      <c r="G48" s="1">
        <v>46071</v>
      </c>
    </row>
    <row r="49" spans="1:7" x14ac:dyDescent="0.35">
      <c r="A49" t="s">
        <v>82</v>
      </c>
      <c r="B49" t="s">
        <v>31</v>
      </c>
      <c r="C49" t="s">
        <v>13</v>
      </c>
      <c r="D49">
        <v>1</v>
      </c>
      <c r="E49">
        <v>18572.34</v>
      </c>
      <c r="F49" t="s">
        <v>32</v>
      </c>
      <c r="G49" s="1">
        <v>46131</v>
      </c>
    </row>
    <row r="50" spans="1:7" x14ac:dyDescent="0.35">
      <c r="A50" t="s">
        <v>83</v>
      </c>
      <c r="B50" t="s">
        <v>28</v>
      </c>
      <c r="C50" t="s">
        <v>9</v>
      </c>
      <c r="D50">
        <v>4</v>
      </c>
      <c r="E50">
        <v>5362.76</v>
      </c>
      <c r="F50" t="s">
        <v>46</v>
      </c>
      <c r="G50" s="1">
        <v>46195</v>
      </c>
    </row>
    <row r="51" spans="1:7" x14ac:dyDescent="0.35">
      <c r="A51" t="s">
        <v>84</v>
      </c>
      <c r="B51" t="s">
        <v>8</v>
      </c>
      <c r="C51" t="s">
        <v>9</v>
      </c>
      <c r="D51">
        <v>1</v>
      </c>
      <c r="E51">
        <v>1641.82</v>
      </c>
      <c r="F51" t="s">
        <v>32</v>
      </c>
      <c r="G51" s="1">
        <v>46050</v>
      </c>
    </row>
    <row r="52" spans="1:7" x14ac:dyDescent="0.35">
      <c r="A52" t="s">
        <v>85</v>
      </c>
      <c r="B52" t="s">
        <v>12</v>
      </c>
      <c r="C52" t="s">
        <v>13</v>
      </c>
      <c r="D52">
        <v>2</v>
      </c>
      <c r="E52">
        <v>1407.06</v>
      </c>
      <c r="F52" t="s">
        <v>22</v>
      </c>
      <c r="G52" s="1">
        <v>46058</v>
      </c>
    </row>
    <row r="53" spans="1:7" x14ac:dyDescent="0.35">
      <c r="A53" t="s">
        <v>86</v>
      </c>
      <c r="B53" t="s">
        <v>28</v>
      </c>
      <c r="C53" t="s">
        <v>9</v>
      </c>
      <c r="D53">
        <v>2</v>
      </c>
      <c r="E53">
        <v>4777.59</v>
      </c>
      <c r="F53" t="s">
        <v>29</v>
      </c>
      <c r="G53" s="1">
        <v>46042</v>
      </c>
    </row>
    <row r="54" spans="1:7" x14ac:dyDescent="0.35">
      <c r="A54" t="s">
        <v>87</v>
      </c>
      <c r="B54" t="s">
        <v>44</v>
      </c>
      <c r="C54" t="s">
        <v>39</v>
      </c>
      <c r="D54">
        <v>5</v>
      </c>
      <c r="E54">
        <v>3218.54</v>
      </c>
      <c r="F54" t="s">
        <v>14</v>
      </c>
      <c r="G54" s="1">
        <v>46026</v>
      </c>
    </row>
    <row r="55" spans="1:7" x14ac:dyDescent="0.35">
      <c r="A55" t="s">
        <v>88</v>
      </c>
      <c r="B55" t="s">
        <v>31</v>
      </c>
      <c r="C55" t="s">
        <v>13</v>
      </c>
      <c r="D55">
        <v>2</v>
      </c>
      <c r="E55">
        <v>16798.72</v>
      </c>
      <c r="F55" t="s">
        <v>22</v>
      </c>
      <c r="G55" s="1">
        <v>46146</v>
      </c>
    </row>
    <row r="56" spans="1:7" x14ac:dyDescent="0.35">
      <c r="A56" t="s">
        <v>89</v>
      </c>
      <c r="B56" t="s">
        <v>12</v>
      </c>
      <c r="C56" t="s">
        <v>13</v>
      </c>
      <c r="D56">
        <v>4</v>
      </c>
      <c r="E56">
        <v>1620.73</v>
      </c>
      <c r="F56" t="s">
        <v>26</v>
      </c>
      <c r="G56" s="1">
        <v>46120</v>
      </c>
    </row>
    <row r="57" spans="1:7" x14ac:dyDescent="0.35">
      <c r="A57" t="s">
        <v>90</v>
      </c>
      <c r="B57" t="s">
        <v>91</v>
      </c>
      <c r="C57" t="s">
        <v>13</v>
      </c>
      <c r="D57">
        <v>4</v>
      </c>
      <c r="E57">
        <v>52417.23</v>
      </c>
      <c r="F57" t="s">
        <v>22</v>
      </c>
      <c r="G57" s="1">
        <v>46096</v>
      </c>
    </row>
    <row r="58" spans="1:7" x14ac:dyDescent="0.35">
      <c r="A58" t="s">
        <v>92</v>
      </c>
      <c r="B58" t="s">
        <v>28</v>
      </c>
      <c r="C58" t="s">
        <v>9</v>
      </c>
      <c r="D58">
        <v>5</v>
      </c>
      <c r="E58">
        <v>5160.84</v>
      </c>
      <c r="F58" t="s">
        <v>22</v>
      </c>
      <c r="G58" s="1">
        <v>46062</v>
      </c>
    </row>
    <row r="59" spans="1:7" x14ac:dyDescent="0.35">
      <c r="A59" t="s">
        <v>93</v>
      </c>
      <c r="B59" t="s">
        <v>12</v>
      </c>
      <c r="C59" t="s">
        <v>13</v>
      </c>
      <c r="D59">
        <v>3</v>
      </c>
      <c r="E59">
        <v>1415.31</v>
      </c>
      <c r="F59" t="s">
        <v>46</v>
      </c>
      <c r="G59" s="1">
        <v>46171</v>
      </c>
    </row>
    <row r="60" spans="1:7" x14ac:dyDescent="0.35">
      <c r="A60" t="s">
        <v>94</v>
      </c>
      <c r="B60" t="s">
        <v>21</v>
      </c>
      <c r="C60" t="s">
        <v>13</v>
      </c>
      <c r="D60">
        <v>5</v>
      </c>
      <c r="E60">
        <v>25541.360000000001</v>
      </c>
      <c r="F60" t="s">
        <v>32</v>
      </c>
      <c r="G60" s="1">
        <v>46037</v>
      </c>
    </row>
    <row r="61" spans="1:7" x14ac:dyDescent="0.35">
      <c r="A61" t="s">
        <v>95</v>
      </c>
      <c r="B61" t="s">
        <v>91</v>
      </c>
      <c r="C61" t="s">
        <v>13</v>
      </c>
      <c r="D61">
        <v>5</v>
      </c>
      <c r="E61">
        <v>54744.67</v>
      </c>
      <c r="F61" t="s">
        <v>14</v>
      </c>
      <c r="G61" s="1">
        <v>46063</v>
      </c>
    </row>
    <row r="62" spans="1:7" x14ac:dyDescent="0.35">
      <c r="A62" t="s">
        <v>96</v>
      </c>
      <c r="B62" t="s">
        <v>91</v>
      </c>
      <c r="C62" t="s">
        <v>13</v>
      </c>
      <c r="D62">
        <v>5</v>
      </c>
      <c r="E62">
        <v>50381.23</v>
      </c>
      <c r="F62" t="s">
        <v>26</v>
      </c>
      <c r="G62" s="1">
        <v>46040</v>
      </c>
    </row>
    <row r="63" spans="1:7" x14ac:dyDescent="0.35">
      <c r="A63" t="s">
        <v>97</v>
      </c>
      <c r="B63" t="s">
        <v>16</v>
      </c>
      <c r="C63" t="s">
        <v>17</v>
      </c>
      <c r="D63">
        <v>1</v>
      </c>
      <c r="E63">
        <v>465.77</v>
      </c>
      <c r="F63" t="s">
        <v>29</v>
      </c>
      <c r="G63" s="1">
        <v>46126</v>
      </c>
    </row>
    <row r="64" spans="1:7" x14ac:dyDescent="0.35">
      <c r="A64" t="s">
        <v>98</v>
      </c>
      <c r="B64" t="s">
        <v>31</v>
      </c>
      <c r="C64" t="s">
        <v>13</v>
      </c>
      <c r="D64">
        <v>5</v>
      </c>
      <c r="E64">
        <v>17086.38</v>
      </c>
      <c r="F64" t="s">
        <v>50</v>
      </c>
      <c r="G64" s="1">
        <v>46033</v>
      </c>
    </row>
    <row r="65" spans="1:7" x14ac:dyDescent="0.35">
      <c r="A65" t="s">
        <v>99</v>
      </c>
      <c r="B65" t="s">
        <v>16</v>
      </c>
      <c r="C65" t="s">
        <v>17</v>
      </c>
      <c r="D65">
        <v>1</v>
      </c>
      <c r="E65">
        <v>442.73</v>
      </c>
      <c r="F65" t="s">
        <v>50</v>
      </c>
      <c r="G65" s="1">
        <v>46167</v>
      </c>
    </row>
    <row r="66" spans="1:7" x14ac:dyDescent="0.35">
      <c r="A66" t="s">
        <v>100</v>
      </c>
      <c r="B66" t="s">
        <v>80</v>
      </c>
      <c r="C66" t="s">
        <v>39</v>
      </c>
      <c r="D66">
        <v>3</v>
      </c>
      <c r="E66">
        <v>4565.1499999999996</v>
      </c>
      <c r="F66" t="s">
        <v>29</v>
      </c>
      <c r="G66" s="1">
        <v>46194</v>
      </c>
    </row>
    <row r="67" spans="1:7" x14ac:dyDescent="0.35">
      <c r="A67" t="s">
        <v>101</v>
      </c>
      <c r="B67" t="s">
        <v>21</v>
      </c>
      <c r="C67" t="s">
        <v>13</v>
      </c>
      <c r="D67">
        <v>3</v>
      </c>
      <c r="E67">
        <v>26536.639999999999</v>
      </c>
      <c r="F67" t="s">
        <v>48</v>
      </c>
      <c r="G67" s="1">
        <v>46056</v>
      </c>
    </row>
    <row r="68" spans="1:7" x14ac:dyDescent="0.35">
      <c r="A68" t="s">
        <v>102</v>
      </c>
      <c r="B68" t="s">
        <v>8</v>
      </c>
      <c r="C68" t="s">
        <v>9</v>
      </c>
      <c r="D68">
        <v>3</v>
      </c>
      <c r="E68">
        <v>1784.6</v>
      </c>
      <c r="F68" t="s">
        <v>18</v>
      </c>
      <c r="G68" s="1">
        <v>46025</v>
      </c>
    </row>
    <row r="69" spans="1:7" x14ac:dyDescent="0.35">
      <c r="A69" t="s">
        <v>103</v>
      </c>
      <c r="B69" t="s">
        <v>44</v>
      </c>
      <c r="C69" t="s">
        <v>39</v>
      </c>
      <c r="D69">
        <v>5</v>
      </c>
      <c r="E69">
        <v>3848.92</v>
      </c>
      <c r="F69" t="s">
        <v>18</v>
      </c>
      <c r="G69" s="1">
        <v>46041</v>
      </c>
    </row>
    <row r="70" spans="1:7" x14ac:dyDescent="0.35">
      <c r="A70" t="s">
        <v>104</v>
      </c>
      <c r="B70" t="s">
        <v>80</v>
      </c>
      <c r="C70" t="s">
        <v>39</v>
      </c>
      <c r="D70">
        <v>2</v>
      </c>
      <c r="E70">
        <v>4204.9399999999996</v>
      </c>
      <c r="F70" t="s">
        <v>26</v>
      </c>
      <c r="G70" s="1">
        <v>46112</v>
      </c>
    </row>
    <row r="71" spans="1:7" x14ac:dyDescent="0.35">
      <c r="A71" t="s">
        <v>105</v>
      </c>
      <c r="B71" t="s">
        <v>31</v>
      </c>
      <c r="C71" t="s">
        <v>13</v>
      </c>
      <c r="D71">
        <v>2</v>
      </c>
      <c r="E71">
        <v>17530.3</v>
      </c>
      <c r="F71" t="s">
        <v>26</v>
      </c>
      <c r="G71" s="1">
        <v>46135</v>
      </c>
    </row>
    <row r="72" spans="1:7" x14ac:dyDescent="0.35">
      <c r="A72" t="s">
        <v>106</v>
      </c>
      <c r="B72" t="s">
        <v>38</v>
      </c>
      <c r="C72" t="s">
        <v>39</v>
      </c>
      <c r="D72">
        <v>5</v>
      </c>
      <c r="E72">
        <v>6764.6</v>
      </c>
      <c r="F72" t="s">
        <v>50</v>
      </c>
      <c r="G72" s="1">
        <v>46190</v>
      </c>
    </row>
    <row r="73" spans="1:7" x14ac:dyDescent="0.35">
      <c r="A73" t="s">
        <v>107</v>
      </c>
      <c r="B73" t="s">
        <v>80</v>
      </c>
      <c r="C73" t="s">
        <v>39</v>
      </c>
      <c r="D73">
        <v>1</v>
      </c>
      <c r="E73">
        <v>4341.01</v>
      </c>
      <c r="F73" t="s">
        <v>14</v>
      </c>
      <c r="G73" s="1">
        <v>46099</v>
      </c>
    </row>
    <row r="74" spans="1:7" x14ac:dyDescent="0.35">
      <c r="A74" t="s">
        <v>108</v>
      </c>
      <c r="B74" t="s">
        <v>8</v>
      </c>
      <c r="C74" t="s">
        <v>9</v>
      </c>
      <c r="D74">
        <v>1</v>
      </c>
      <c r="E74">
        <v>1958.01</v>
      </c>
      <c r="F74" t="s">
        <v>26</v>
      </c>
      <c r="G74" s="1">
        <v>46090</v>
      </c>
    </row>
    <row r="75" spans="1:7" x14ac:dyDescent="0.35">
      <c r="A75" t="s">
        <v>109</v>
      </c>
      <c r="B75" t="s">
        <v>31</v>
      </c>
      <c r="C75" t="s">
        <v>13</v>
      </c>
      <c r="D75">
        <v>1</v>
      </c>
      <c r="E75">
        <v>18872.7</v>
      </c>
      <c r="F75" t="s">
        <v>26</v>
      </c>
      <c r="G75" s="1">
        <v>46092</v>
      </c>
    </row>
    <row r="76" spans="1:7" x14ac:dyDescent="0.35">
      <c r="A76" t="s">
        <v>110</v>
      </c>
      <c r="B76" t="s">
        <v>24</v>
      </c>
      <c r="C76" t="s">
        <v>25</v>
      </c>
      <c r="D76">
        <v>5</v>
      </c>
      <c r="E76">
        <v>752.76</v>
      </c>
      <c r="F76" t="s">
        <v>32</v>
      </c>
      <c r="G76" s="1">
        <v>46075</v>
      </c>
    </row>
    <row r="77" spans="1:7" x14ac:dyDescent="0.35">
      <c r="A77" t="s">
        <v>111</v>
      </c>
      <c r="B77" t="s">
        <v>8</v>
      </c>
      <c r="C77" t="s">
        <v>9</v>
      </c>
      <c r="D77">
        <v>3</v>
      </c>
      <c r="E77">
        <v>1801.95</v>
      </c>
      <c r="F77" t="s">
        <v>10</v>
      </c>
      <c r="G77" s="1">
        <v>46036</v>
      </c>
    </row>
    <row r="78" spans="1:7" x14ac:dyDescent="0.35">
      <c r="A78" t="s">
        <v>112</v>
      </c>
      <c r="B78" t="s">
        <v>31</v>
      </c>
      <c r="C78" t="s">
        <v>13</v>
      </c>
      <c r="D78">
        <v>4</v>
      </c>
      <c r="E78">
        <v>19185.650000000001</v>
      </c>
      <c r="F78" t="s">
        <v>46</v>
      </c>
      <c r="G78" s="1">
        <v>46023</v>
      </c>
    </row>
    <row r="79" spans="1:7" x14ac:dyDescent="0.35">
      <c r="A79" t="s">
        <v>113</v>
      </c>
      <c r="B79" t="s">
        <v>55</v>
      </c>
      <c r="C79" t="s">
        <v>25</v>
      </c>
      <c r="D79">
        <v>2</v>
      </c>
      <c r="E79">
        <v>2567.5300000000002</v>
      </c>
      <c r="F79" t="s">
        <v>10</v>
      </c>
      <c r="G79" s="1">
        <v>46064</v>
      </c>
    </row>
    <row r="80" spans="1:7" x14ac:dyDescent="0.35">
      <c r="A80" t="s">
        <v>114</v>
      </c>
      <c r="B80" t="s">
        <v>21</v>
      </c>
      <c r="C80" t="s">
        <v>13</v>
      </c>
      <c r="D80">
        <v>4</v>
      </c>
      <c r="E80">
        <v>28289.41</v>
      </c>
      <c r="F80" t="s">
        <v>48</v>
      </c>
      <c r="G80" s="1">
        <v>46166</v>
      </c>
    </row>
    <row r="81" spans="1:7" x14ac:dyDescent="0.35">
      <c r="A81" t="s">
        <v>115</v>
      </c>
      <c r="B81" t="s">
        <v>91</v>
      </c>
      <c r="C81" t="s">
        <v>13</v>
      </c>
      <c r="D81">
        <v>1</v>
      </c>
      <c r="E81">
        <v>50327.68</v>
      </c>
      <c r="F81" t="s">
        <v>26</v>
      </c>
      <c r="G81" s="1">
        <v>46162</v>
      </c>
    </row>
    <row r="82" spans="1:7" x14ac:dyDescent="0.35">
      <c r="A82" t="s">
        <v>116</v>
      </c>
      <c r="B82" t="s">
        <v>91</v>
      </c>
      <c r="C82" t="s">
        <v>13</v>
      </c>
      <c r="D82">
        <v>3</v>
      </c>
      <c r="E82">
        <v>55907.61</v>
      </c>
      <c r="F82" t="s">
        <v>26</v>
      </c>
      <c r="G82" s="1">
        <v>46133</v>
      </c>
    </row>
    <row r="83" spans="1:7" x14ac:dyDescent="0.35">
      <c r="A83" t="s">
        <v>117</v>
      </c>
      <c r="B83" t="s">
        <v>72</v>
      </c>
      <c r="C83" t="s">
        <v>13</v>
      </c>
      <c r="D83">
        <v>1</v>
      </c>
      <c r="E83">
        <v>2115.63</v>
      </c>
      <c r="F83" t="s">
        <v>46</v>
      </c>
      <c r="G83" s="1">
        <v>46114</v>
      </c>
    </row>
    <row r="84" spans="1:7" x14ac:dyDescent="0.35">
      <c r="A84" t="s">
        <v>118</v>
      </c>
      <c r="B84" t="s">
        <v>12</v>
      </c>
      <c r="C84" t="s">
        <v>13</v>
      </c>
      <c r="D84">
        <v>2</v>
      </c>
      <c r="E84">
        <v>1550.08</v>
      </c>
      <c r="F84" t="s">
        <v>32</v>
      </c>
      <c r="G84" s="1">
        <v>46166</v>
      </c>
    </row>
    <row r="85" spans="1:7" x14ac:dyDescent="0.35">
      <c r="A85" t="s">
        <v>119</v>
      </c>
      <c r="B85" t="s">
        <v>38</v>
      </c>
      <c r="C85" t="s">
        <v>39</v>
      </c>
      <c r="D85">
        <v>4</v>
      </c>
      <c r="E85">
        <v>7115.99</v>
      </c>
      <c r="F85" t="s">
        <v>26</v>
      </c>
      <c r="G85" s="1">
        <v>46083</v>
      </c>
    </row>
    <row r="86" spans="1:7" x14ac:dyDescent="0.35">
      <c r="A86" t="s">
        <v>120</v>
      </c>
      <c r="B86" t="s">
        <v>38</v>
      </c>
      <c r="C86" t="s">
        <v>39</v>
      </c>
      <c r="D86">
        <v>2</v>
      </c>
      <c r="E86">
        <v>7119.07</v>
      </c>
      <c r="F86" t="s">
        <v>26</v>
      </c>
      <c r="G86" s="1">
        <v>46128</v>
      </c>
    </row>
    <row r="87" spans="1:7" x14ac:dyDescent="0.35">
      <c r="A87" t="s">
        <v>121</v>
      </c>
      <c r="B87" t="s">
        <v>91</v>
      </c>
      <c r="C87" t="s">
        <v>13</v>
      </c>
      <c r="D87">
        <v>2</v>
      </c>
      <c r="E87">
        <v>57602.21</v>
      </c>
      <c r="F87" t="s">
        <v>32</v>
      </c>
      <c r="G87" s="1">
        <v>46128</v>
      </c>
    </row>
    <row r="88" spans="1:7" x14ac:dyDescent="0.35">
      <c r="A88" t="s">
        <v>122</v>
      </c>
      <c r="B88" t="s">
        <v>62</v>
      </c>
      <c r="C88" t="s">
        <v>25</v>
      </c>
      <c r="D88">
        <v>2</v>
      </c>
      <c r="E88">
        <v>1905.77</v>
      </c>
      <c r="F88" t="s">
        <v>18</v>
      </c>
      <c r="G88" s="1">
        <v>46120</v>
      </c>
    </row>
    <row r="89" spans="1:7" x14ac:dyDescent="0.35">
      <c r="A89" t="s">
        <v>123</v>
      </c>
      <c r="B89" t="s">
        <v>38</v>
      </c>
      <c r="C89" t="s">
        <v>39</v>
      </c>
      <c r="D89">
        <v>1</v>
      </c>
      <c r="E89">
        <v>6966.17</v>
      </c>
      <c r="F89" t="s">
        <v>29</v>
      </c>
      <c r="G89" s="1">
        <v>46074</v>
      </c>
    </row>
    <row r="90" spans="1:7" x14ac:dyDescent="0.35">
      <c r="A90" t="s">
        <v>124</v>
      </c>
      <c r="B90" t="s">
        <v>38</v>
      </c>
      <c r="C90" t="s">
        <v>39</v>
      </c>
      <c r="D90">
        <v>4</v>
      </c>
      <c r="E90">
        <v>6304.56</v>
      </c>
      <c r="F90" t="s">
        <v>29</v>
      </c>
      <c r="G90" s="1">
        <v>46080</v>
      </c>
    </row>
    <row r="91" spans="1:7" x14ac:dyDescent="0.35">
      <c r="A91" t="s">
        <v>125</v>
      </c>
      <c r="B91" t="s">
        <v>91</v>
      </c>
      <c r="C91" t="s">
        <v>13</v>
      </c>
      <c r="D91">
        <v>2</v>
      </c>
      <c r="E91">
        <v>53883.13</v>
      </c>
      <c r="F91" t="s">
        <v>10</v>
      </c>
      <c r="G91" s="1">
        <v>46040</v>
      </c>
    </row>
    <row r="92" spans="1:7" x14ac:dyDescent="0.35">
      <c r="A92" t="s">
        <v>126</v>
      </c>
      <c r="B92" t="s">
        <v>62</v>
      </c>
      <c r="C92" t="s">
        <v>25</v>
      </c>
      <c r="D92">
        <v>3</v>
      </c>
      <c r="E92">
        <v>1939.49</v>
      </c>
      <c r="F92" t="s">
        <v>14</v>
      </c>
      <c r="G92" s="1">
        <v>46125</v>
      </c>
    </row>
    <row r="93" spans="1:7" x14ac:dyDescent="0.35">
      <c r="A93" t="s">
        <v>127</v>
      </c>
      <c r="B93" t="s">
        <v>8</v>
      </c>
      <c r="C93" t="s">
        <v>9</v>
      </c>
      <c r="D93">
        <v>5</v>
      </c>
      <c r="E93">
        <v>1739.21</v>
      </c>
      <c r="F93" t="s">
        <v>46</v>
      </c>
      <c r="G93" s="1">
        <v>46052</v>
      </c>
    </row>
    <row r="94" spans="1:7" x14ac:dyDescent="0.35">
      <c r="A94" t="s">
        <v>128</v>
      </c>
      <c r="B94" t="s">
        <v>24</v>
      </c>
      <c r="C94" t="s">
        <v>25</v>
      </c>
      <c r="D94">
        <v>2</v>
      </c>
      <c r="E94">
        <v>811.88</v>
      </c>
      <c r="F94" t="s">
        <v>10</v>
      </c>
      <c r="G94" s="1">
        <v>46032</v>
      </c>
    </row>
    <row r="95" spans="1:7" x14ac:dyDescent="0.35">
      <c r="A95" t="s">
        <v>129</v>
      </c>
      <c r="B95" t="s">
        <v>31</v>
      </c>
      <c r="C95" t="s">
        <v>13</v>
      </c>
      <c r="D95">
        <v>5</v>
      </c>
      <c r="E95">
        <v>17764.43</v>
      </c>
      <c r="F95" t="s">
        <v>32</v>
      </c>
      <c r="G95" s="1">
        <v>46134</v>
      </c>
    </row>
    <row r="96" spans="1:7" x14ac:dyDescent="0.35">
      <c r="A96" t="s">
        <v>130</v>
      </c>
      <c r="B96" t="s">
        <v>16</v>
      </c>
      <c r="C96" t="s">
        <v>17</v>
      </c>
      <c r="D96">
        <v>5</v>
      </c>
      <c r="E96">
        <v>415.41</v>
      </c>
      <c r="F96" t="s">
        <v>50</v>
      </c>
      <c r="G96" s="1">
        <v>46071</v>
      </c>
    </row>
    <row r="97" spans="1:7" x14ac:dyDescent="0.35">
      <c r="A97" t="s">
        <v>131</v>
      </c>
      <c r="B97" t="s">
        <v>24</v>
      </c>
      <c r="C97" t="s">
        <v>25</v>
      </c>
      <c r="D97">
        <v>1</v>
      </c>
      <c r="E97">
        <v>832.36</v>
      </c>
      <c r="F97" t="s">
        <v>46</v>
      </c>
      <c r="G97" s="1">
        <v>46156</v>
      </c>
    </row>
    <row r="98" spans="1:7" x14ac:dyDescent="0.35">
      <c r="A98" t="s">
        <v>132</v>
      </c>
      <c r="B98" t="s">
        <v>62</v>
      </c>
      <c r="C98" t="s">
        <v>25</v>
      </c>
      <c r="D98">
        <v>5</v>
      </c>
      <c r="E98">
        <v>2073.71</v>
      </c>
      <c r="F98" t="s">
        <v>29</v>
      </c>
      <c r="G98" s="1">
        <v>46116</v>
      </c>
    </row>
    <row r="99" spans="1:7" x14ac:dyDescent="0.35">
      <c r="A99" t="s">
        <v>133</v>
      </c>
      <c r="B99" t="s">
        <v>28</v>
      </c>
      <c r="C99" t="s">
        <v>9</v>
      </c>
      <c r="D99">
        <v>1</v>
      </c>
      <c r="E99">
        <v>5447.78</v>
      </c>
      <c r="F99" t="s">
        <v>32</v>
      </c>
      <c r="G99" s="1">
        <v>46182</v>
      </c>
    </row>
    <row r="100" spans="1:7" x14ac:dyDescent="0.35">
      <c r="A100" t="s">
        <v>134</v>
      </c>
      <c r="B100" t="s">
        <v>55</v>
      </c>
      <c r="C100" t="s">
        <v>25</v>
      </c>
      <c r="D100">
        <v>1</v>
      </c>
      <c r="E100">
        <v>2608.83</v>
      </c>
      <c r="F100" t="s">
        <v>10</v>
      </c>
      <c r="G100" s="1">
        <v>46152</v>
      </c>
    </row>
    <row r="101" spans="1:7" x14ac:dyDescent="0.35">
      <c r="A101" t="s">
        <v>135</v>
      </c>
      <c r="B101" t="s">
        <v>24</v>
      </c>
      <c r="C101" t="s">
        <v>25</v>
      </c>
      <c r="D101">
        <v>4</v>
      </c>
      <c r="E101">
        <v>771.22</v>
      </c>
      <c r="F101" t="s">
        <v>10</v>
      </c>
      <c r="G101" s="1">
        <v>46164</v>
      </c>
    </row>
    <row r="102" spans="1:7" x14ac:dyDescent="0.35">
      <c r="A102" t="s">
        <v>136</v>
      </c>
      <c r="B102" t="s">
        <v>72</v>
      </c>
      <c r="C102" t="s">
        <v>13</v>
      </c>
      <c r="D102">
        <v>2</v>
      </c>
      <c r="E102">
        <v>2165</v>
      </c>
      <c r="F102" t="s">
        <v>48</v>
      </c>
      <c r="G102" s="1">
        <v>46196</v>
      </c>
    </row>
    <row r="103" spans="1:7" x14ac:dyDescent="0.35">
      <c r="A103" t="s">
        <v>137</v>
      </c>
      <c r="B103" t="s">
        <v>21</v>
      </c>
      <c r="C103" t="s">
        <v>13</v>
      </c>
      <c r="D103">
        <v>2</v>
      </c>
      <c r="E103">
        <v>28646.880000000001</v>
      </c>
      <c r="F103" t="s">
        <v>10</v>
      </c>
      <c r="G103" s="1">
        <v>46126</v>
      </c>
    </row>
    <row r="104" spans="1:7" x14ac:dyDescent="0.35">
      <c r="A104" t="s">
        <v>138</v>
      </c>
      <c r="B104" t="s">
        <v>80</v>
      </c>
      <c r="C104" t="s">
        <v>39</v>
      </c>
      <c r="D104">
        <v>1</v>
      </c>
      <c r="E104">
        <v>4035.25</v>
      </c>
      <c r="F104" t="s">
        <v>29</v>
      </c>
      <c r="G104" s="1">
        <v>46133</v>
      </c>
    </row>
    <row r="105" spans="1:7" x14ac:dyDescent="0.35">
      <c r="A105" t="s">
        <v>139</v>
      </c>
      <c r="B105" t="s">
        <v>62</v>
      </c>
      <c r="C105" t="s">
        <v>25</v>
      </c>
      <c r="D105">
        <v>5</v>
      </c>
      <c r="E105">
        <v>2041.64</v>
      </c>
      <c r="F105" t="s">
        <v>32</v>
      </c>
      <c r="G105" s="1">
        <v>46142</v>
      </c>
    </row>
    <row r="106" spans="1:7" x14ac:dyDescent="0.35">
      <c r="A106" t="s">
        <v>140</v>
      </c>
      <c r="B106" t="s">
        <v>44</v>
      </c>
      <c r="C106" t="s">
        <v>39</v>
      </c>
      <c r="D106">
        <v>4</v>
      </c>
      <c r="E106">
        <v>3622.94</v>
      </c>
      <c r="F106" t="s">
        <v>14</v>
      </c>
      <c r="G106" s="1">
        <v>46144</v>
      </c>
    </row>
    <row r="107" spans="1:7" x14ac:dyDescent="0.35">
      <c r="A107" t="s">
        <v>141</v>
      </c>
      <c r="B107" t="s">
        <v>62</v>
      </c>
      <c r="C107" t="s">
        <v>25</v>
      </c>
      <c r="D107">
        <v>2</v>
      </c>
      <c r="E107">
        <v>2062.5100000000002</v>
      </c>
      <c r="F107" t="s">
        <v>10</v>
      </c>
      <c r="G107" s="1">
        <v>46154</v>
      </c>
    </row>
    <row r="108" spans="1:7" x14ac:dyDescent="0.35">
      <c r="A108" t="s">
        <v>142</v>
      </c>
      <c r="B108" t="s">
        <v>8</v>
      </c>
      <c r="C108" t="s">
        <v>9</v>
      </c>
      <c r="D108">
        <v>5</v>
      </c>
      <c r="E108">
        <v>1740.67</v>
      </c>
      <c r="F108" t="s">
        <v>29</v>
      </c>
      <c r="G108" s="1">
        <v>46195</v>
      </c>
    </row>
    <row r="109" spans="1:7" x14ac:dyDescent="0.35">
      <c r="A109" t="s">
        <v>143</v>
      </c>
      <c r="B109" t="s">
        <v>24</v>
      </c>
      <c r="C109" t="s">
        <v>25</v>
      </c>
      <c r="D109">
        <v>2</v>
      </c>
      <c r="E109">
        <v>847.99</v>
      </c>
      <c r="F109" t="s">
        <v>26</v>
      </c>
      <c r="G109" s="1">
        <v>46029</v>
      </c>
    </row>
    <row r="110" spans="1:7" x14ac:dyDescent="0.35">
      <c r="A110" t="s">
        <v>144</v>
      </c>
      <c r="B110" t="s">
        <v>91</v>
      </c>
      <c r="C110" t="s">
        <v>13</v>
      </c>
      <c r="D110">
        <v>2</v>
      </c>
      <c r="E110">
        <v>60323.3</v>
      </c>
      <c r="F110" t="s">
        <v>50</v>
      </c>
      <c r="G110" s="1">
        <v>46041</v>
      </c>
    </row>
    <row r="111" spans="1:7" x14ac:dyDescent="0.35">
      <c r="A111" t="s">
        <v>145</v>
      </c>
      <c r="B111" t="s">
        <v>44</v>
      </c>
      <c r="C111" t="s">
        <v>39</v>
      </c>
      <c r="D111">
        <v>4</v>
      </c>
      <c r="E111">
        <v>3770.3</v>
      </c>
      <c r="F111" t="s">
        <v>50</v>
      </c>
      <c r="G111" s="1">
        <v>46072</v>
      </c>
    </row>
    <row r="112" spans="1:7" x14ac:dyDescent="0.35">
      <c r="A112" t="s">
        <v>146</v>
      </c>
      <c r="B112" t="s">
        <v>21</v>
      </c>
      <c r="C112" t="s">
        <v>13</v>
      </c>
      <c r="D112">
        <v>4</v>
      </c>
      <c r="E112">
        <v>27968.51</v>
      </c>
      <c r="F112" t="s">
        <v>29</v>
      </c>
      <c r="G112" s="1">
        <v>46060</v>
      </c>
    </row>
    <row r="113" spans="1:7" x14ac:dyDescent="0.35">
      <c r="A113" t="s">
        <v>147</v>
      </c>
      <c r="B113" t="s">
        <v>8</v>
      </c>
      <c r="C113" t="s">
        <v>9</v>
      </c>
      <c r="D113">
        <v>1</v>
      </c>
      <c r="E113">
        <v>1941.36</v>
      </c>
      <c r="F113" t="s">
        <v>18</v>
      </c>
      <c r="G113" s="1">
        <v>46131</v>
      </c>
    </row>
    <row r="114" spans="1:7" x14ac:dyDescent="0.35">
      <c r="A114" t="s">
        <v>148</v>
      </c>
      <c r="B114" t="s">
        <v>12</v>
      </c>
      <c r="C114" t="s">
        <v>13</v>
      </c>
      <c r="D114">
        <v>2</v>
      </c>
      <c r="E114">
        <v>1591.23</v>
      </c>
      <c r="F114" t="s">
        <v>14</v>
      </c>
      <c r="G114" s="1">
        <v>46141</v>
      </c>
    </row>
    <row r="115" spans="1:7" x14ac:dyDescent="0.35">
      <c r="A115" t="s">
        <v>149</v>
      </c>
      <c r="B115" t="s">
        <v>91</v>
      </c>
      <c r="C115" t="s">
        <v>13</v>
      </c>
      <c r="D115">
        <v>5</v>
      </c>
      <c r="E115">
        <v>52241.18</v>
      </c>
      <c r="F115" t="s">
        <v>18</v>
      </c>
      <c r="G115" s="1">
        <v>46139</v>
      </c>
    </row>
    <row r="116" spans="1:7" x14ac:dyDescent="0.35">
      <c r="A116" t="s">
        <v>150</v>
      </c>
      <c r="B116" t="s">
        <v>72</v>
      </c>
      <c r="C116" t="s">
        <v>13</v>
      </c>
      <c r="D116">
        <v>4</v>
      </c>
      <c r="E116">
        <v>2273.73</v>
      </c>
      <c r="F116" t="s">
        <v>14</v>
      </c>
      <c r="G116" s="1">
        <v>46175</v>
      </c>
    </row>
    <row r="117" spans="1:7" x14ac:dyDescent="0.35">
      <c r="A117" t="s">
        <v>151</v>
      </c>
      <c r="B117" t="s">
        <v>55</v>
      </c>
      <c r="C117" t="s">
        <v>25</v>
      </c>
      <c r="D117">
        <v>4</v>
      </c>
      <c r="E117">
        <v>2555.3000000000002</v>
      </c>
      <c r="F117" t="s">
        <v>14</v>
      </c>
      <c r="G117" s="1">
        <v>46132</v>
      </c>
    </row>
    <row r="118" spans="1:7" x14ac:dyDescent="0.35">
      <c r="A118" t="s">
        <v>152</v>
      </c>
      <c r="B118" t="s">
        <v>38</v>
      </c>
      <c r="C118" t="s">
        <v>39</v>
      </c>
      <c r="D118">
        <v>5</v>
      </c>
      <c r="E118">
        <v>6429.69</v>
      </c>
      <c r="F118" t="s">
        <v>26</v>
      </c>
      <c r="G118" s="1">
        <v>46144</v>
      </c>
    </row>
    <row r="119" spans="1:7" x14ac:dyDescent="0.35">
      <c r="A119" t="s">
        <v>153</v>
      </c>
      <c r="B119" t="s">
        <v>44</v>
      </c>
      <c r="C119" t="s">
        <v>39</v>
      </c>
      <c r="D119">
        <v>3</v>
      </c>
      <c r="E119">
        <v>3676.24</v>
      </c>
      <c r="F119" t="s">
        <v>10</v>
      </c>
      <c r="G119" s="1">
        <v>46156</v>
      </c>
    </row>
    <row r="120" spans="1:7" x14ac:dyDescent="0.35">
      <c r="A120" t="s">
        <v>154</v>
      </c>
      <c r="B120" t="s">
        <v>44</v>
      </c>
      <c r="C120" t="s">
        <v>39</v>
      </c>
      <c r="D120">
        <v>2</v>
      </c>
      <c r="E120">
        <v>3342.22</v>
      </c>
      <c r="F120" t="s">
        <v>18</v>
      </c>
      <c r="G120" s="1">
        <v>46096</v>
      </c>
    </row>
    <row r="121" spans="1:7" x14ac:dyDescent="0.35">
      <c r="A121" t="s">
        <v>155</v>
      </c>
      <c r="B121" t="s">
        <v>12</v>
      </c>
      <c r="C121" t="s">
        <v>13</v>
      </c>
      <c r="D121">
        <v>3</v>
      </c>
      <c r="E121">
        <v>1450.75</v>
      </c>
      <c r="F121" t="s">
        <v>14</v>
      </c>
      <c r="G121" s="1">
        <v>46043</v>
      </c>
    </row>
    <row r="122" spans="1:7" x14ac:dyDescent="0.35">
      <c r="A122" t="s">
        <v>156</v>
      </c>
      <c r="B122" t="s">
        <v>72</v>
      </c>
      <c r="C122" t="s">
        <v>13</v>
      </c>
      <c r="D122">
        <v>2</v>
      </c>
      <c r="E122">
        <v>2081.7600000000002</v>
      </c>
      <c r="F122" t="s">
        <v>26</v>
      </c>
      <c r="G122" s="1">
        <v>46077</v>
      </c>
    </row>
    <row r="123" spans="1:7" x14ac:dyDescent="0.35">
      <c r="A123" t="s">
        <v>157</v>
      </c>
      <c r="B123" t="s">
        <v>31</v>
      </c>
      <c r="C123" t="s">
        <v>13</v>
      </c>
      <c r="D123">
        <v>4</v>
      </c>
      <c r="E123">
        <v>17667.36</v>
      </c>
      <c r="F123" t="s">
        <v>14</v>
      </c>
      <c r="G123" s="1">
        <v>46142</v>
      </c>
    </row>
    <row r="124" spans="1:7" x14ac:dyDescent="0.35">
      <c r="A124" t="s">
        <v>158</v>
      </c>
      <c r="B124" t="s">
        <v>28</v>
      </c>
      <c r="C124" t="s">
        <v>9</v>
      </c>
      <c r="D124">
        <v>1</v>
      </c>
      <c r="E124">
        <v>4705.8900000000003</v>
      </c>
      <c r="F124" t="s">
        <v>48</v>
      </c>
      <c r="G124" s="1">
        <v>46122</v>
      </c>
    </row>
    <row r="125" spans="1:7" x14ac:dyDescent="0.35">
      <c r="A125" t="s">
        <v>159</v>
      </c>
      <c r="B125" t="s">
        <v>62</v>
      </c>
      <c r="C125" t="s">
        <v>25</v>
      </c>
      <c r="D125">
        <v>5</v>
      </c>
      <c r="E125">
        <v>2177.34</v>
      </c>
      <c r="F125" t="s">
        <v>46</v>
      </c>
      <c r="G125" s="1">
        <v>46170</v>
      </c>
    </row>
    <row r="126" spans="1:7" x14ac:dyDescent="0.35">
      <c r="A126" t="s">
        <v>160</v>
      </c>
      <c r="B126" t="s">
        <v>28</v>
      </c>
      <c r="C126" t="s">
        <v>9</v>
      </c>
      <c r="D126">
        <v>4</v>
      </c>
      <c r="E126">
        <v>4504.99</v>
      </c>
      <c r="F126" t="s">
        <v>32</v>
      </c>
      <c r="G126" s="1">
        <v>46099</v>
      </c>
    </row>
    <row r="127" spans="1:7" x14ac:dyDescent="0.35">
      <c r="A127" t="s">
        <v>161</v>
      </c>
      <c r="B127" t="s">
        <v>62</v>
      </c>
      <c r="C127" t="s">
        <v>25</v>
      </c>
      <c r="D127">
        <v>4</v>
      </c>
      <c r="E127">
        <v>2140.31</v>
      </c>
      <c r="F127" t="s">
        <v>48</v>
      </c>
      <c r="G127" s="1">
        <v>46160</v>
      </c>
    </row>
    <row r="128" spans="1:7" x14ac:dyDescent="0.35">
      <c r="A128" t="s">
        <v>162</v>
      </c>
      <c r="B128" t="s">
        <v>21</v>
      </c>
      <c r="C128" t="s">
        <v>13</v>
      </c>
      <c r="D128">
        <v>5</v>
      </c>
      <c r="E128">
        <v>29679.26</v>
      </c>
      <c r="F128" t="s">
        <v>29</v>
      </c>
      <c r="G128" s="1">
        <v>46147</v>
      </c>
    </row>
    <row r="129" spans="1:7" x14ac:dyDescent="0.35">
      <c r="A129" t="s">
        <v>163</v>
      </c>
      <c r="B129" t="s">
        <v>12</v>
      </c>
      <c r="C129" t="s">
        <v>13</v>
      </c>
      <c r="D129">
        <v>3</v>
      </c>
      <c r="E129">
        <v>1480.75</v>
      </c>
      <c r="F129" t="s">
        <v>46</v>
      </c>
      <c r="G129" s="1">
        <v>46122</v>
      </c>
    </row>
    <row r="130" spans="1:7" x14ac:dyDescent="0.35">
      <c r="A130" t="s">
        <v>164</v>
      </c>
      <c r="B130" t="s">
        <v>55</v>
      </c>
      <c r="C130" t="s">
        <v>25</v>
      </c>
      <c r="D130">
        <v>4</v>
      </c>
      <c r="E130">
        <v>2611.0500000000002</v>
      </c>
      <c r="F130" t="s">
        <v>22</v>
      </c>
      <c r="G130" s="1">
        <v>46055</v>
      </c>
    </row>
    <row r="131" spans="1:7" x14ac:dyDescent="0.35">
      <c r="A131" t="s">
        <v>165</v>
      </c>
      <c r="B131" t="s">
        <v>16</v>
      </c>
      <c r="C131" t="s">
        <v>17</v>
      </c>
      <c r="D131">
        <v>5</v>
      </c>
      <c r="E131">
        <v>407.43</v>
      </c>
      <c r="F131" t="s">
        <v>48</v>
      </c>
      <c r="G131" s="1">
        <v>46174</v>
      </c>
    </row>
    <row r="132" spans="1:7" x14ac:dyDescent="0.35">
      <c r="A132" t="s">
        <v>166</v>
      </c>
      <c r="B132" t="s">
        <v>16</v>
      </c>
      <c r="C132" t="s">
        <v>17</v>
      </c>
      <c r="D132">
        <v>1</v>
      </c>
      <c r="E132">
        <v>412.56</v>
      </c>
      <c r="F132" t="s">
        <v>48</v>
      </c>
      <c r="G132" s="1">
        <v>46057</v>
      </c>
    </row>
    <row r="133" spans="1:7" x14ac:dyDescent="0.35">
      <c r="A133" t="s">
        <v>167</v>
      </c>
      <c r="B133" t="s">
        <v>38</v>
      </c>
      <c r="C133" t="s">
        <v>39</v>
      </c>
      <c r="D133">
        <v>4</v>
      </c>
      <c r="E133">
        <v>6086.25</v>
      </c>
      <c r="F133" t="s">
        <v>10</v>
      </c>
      <c r="G133" s="1">
        <v>46120</v>
      </c>
    </row>
    <row r="134" spans="1:7" x14ac:dyDescent="0.35">
      <c r="A134" t="s">
        <v>168</v>
      </c>
      <c r="B134" t="s">
        <v>55</v>
      </c>
      <c r="C134" t="s">
        <v>25</v>
      </c>
      <c r="D134">
        <v>2</v>
      </c>
      <c r="E134">
        <v>2476.36</v>
      </c>
      <c r="F134" t="s">
        <v>32</v>
      </c>
      <c r="G134" s="1">
        <v>46120</v>
      </c>
    </row>
    <row r="135" spans="1:7" x14ac:dyDescent="0.35">
      <c r="A135" t="s">
        <v>169</v>
      </c>
      <c r="B135" t="s">
        <v>24</v>
      </c>
      <c r="C135" t="s">
        <v>25</v>
      </c>
      <c r="D135">
        <v>4</v>
      </c>
      <c r="E135">
        <v>759.41</v>
      </c>
      <c r="F135" t="s">
        <v>18</v>
      </c>
      <c r="G135" s="1">
        <v>46143</v>
      </c>
    </row>
    <row r="136" spans="1:7" x14ac:dyDescent="0.35">
      <c r="A136" t="s">
        <v>170</v>
      </c>
      <c r="B136" t="s">
        <v>91</v>
      </c>
      <c r="C136" t="s">
        <v>13</v>
      </c>
      <c r="D136">
        <v>5</v>
      </c>
      <c r="E136">
        <v>50072.94</v>
      </c>
      <c r="F136" t="s">
        <v>32</v>
      </c>
      <c r="G136" s="1">
        <v>46080</v>
      </c>
    </row>
    <row r="137" spans="1:7" x14ac:dyDescent="0.35">
      <c r="A137" t="s">
        <v>171</v>
      </c>
      <c r="B137" t="s">
        <v>8</v>
      </c>
      <c r="C137" t="s">
        <v>9</v>
      </c>
      <c r="D137">
        <v>1</v>
      </c>
      <c r="E137">
        <v>1901.24</v>
      </c>
      <c r="F137" t="s">
        <v>46</v>
      </c>
      <c r="G137" s="1">
        <v>46030</v>
      </c>
    </row>
    <row r="138" spans="1:7" x14ac:dyDescent="0.35">
      <c r="A138" t="s">
        <v>172</v>
      </c>
      <c r="B138" t="s">
        <v>12</v>
      </c>
      <c r="C138" t="s">
        <v>13</v>
      </c>
      <c r="D138">
        <v>2</v>
      </c>
      <c r="E138">
        <v>1601.77</v>
      </c>
      <c r="F138" t="s">
        <v>50</v>
      </c>
      <c r="G138" s="1">
        <v>46062</v>
      </c>
    </row>
    <row r="139" spans="1:7" x14ac:dyDescent="0.35">
      <c r="A139" t="s">
        <v>173</v>
      </c>
      <c r="B139" t="s">
        <v>12</v>
      </c>
      <c r="C139" t="s">
        <v>13</v>
      </c>
      <c r="D139">
        <v>2</v>
      </c>
      <c r="E139">
        <v>1492.07</v>
      </c>
      <c r="F139" t="s">
        <v>18</v>
      </c>
      <c r="G139" s="1">
        <v>46167</v>
      </c>
    </row>
    <row r="140" spans="1:7" x14ac:dyDescent="0.35">
      <c r="A140" t="s">
        <v>174</v>
      </c>
      <c r="B140" t="s">
        <v>12</v>
      </c>
      <c r="C140" t="s">
        <v>13</v>
      </c>
      <c r="D140">
        <v>4</v>
      </c>
      <c r="E140">
        <v>1559.84</v>
      </c>
      <c r="F140" t="s">
        <v>32</v>
      </c>
      <c r="G140" s="1">
        <v>46065</v>
      </c>
    </row>
    <row r="141" spans="1:7" x14ac:dyDescent="0.35">
      <c r="A141" t="s">
        <v>175</v>
      </c>
      <c r="B141" t="s">
        <v>16</v>
      </c>
      <c r="C141" t="s">
        <v>17</v>
      </c>
      <c r="D141">
        <v>5</v>
      </c>
      <c r="E141">
        <v>491.74</v>
      </c>
      <c r="F141" t="s">
        <v>18</v>
      </c>
      <c r="G141" s="1">
        <v>46064</v>
      </c>
    </row>
    <row r="142" spans="1:7" x14ac:dyDescent="0.35">
      <c r="A142" t="s">
        <v>176</v>
      </c>
      <c r="B142" t="s">
        <v>24</v>
      </c>
      <c r="C142" t="s">
        <v>25</v>
      </c>
      <c r="D142">
        <v>1</v>
      </c>
      <c r="E142">
        <v>811.57</v>
      </c>
      <c r="F142" t="s">
        <v>10</v>
      </c>
      <c r="G142" s="1">
        <v>46170</v>
      </c>
    </row>
    <row r="143" spans="1:7" x14ac:dyDescent="0.35">
      <c r="A143" t="s">
        <v>177</v>
      </c>
      <c r="B143" t="s">
        <v>8</v>
      </c>
      <c r="C143" t="s">
        <v>9</v>
      </c>
      <c r="D143">
        <v>4</v>
      </c>
      <c r="E143">
        <v>1762.8</v>
      </c>
      <c r="F143" t="s">
        <v>29</v>
      </c>
      <c r="G143" s="1">
        <v>46042</v>
      </c>
    </row>
    <row r="144" spans="1:7" x14ac:dyDescent="0.35">
      <c r="A144" t="s">
        <v>178</v>
      </c>
      <c r="B144" t="s">
        <v>16</v>
      </c>
      <c r="C144" t="s">
        <v>17</v>
      </c>
      <c r="D144">
        <v>2</v>
      </c>
      <c r="E144">
        <v>414.17</v>
      </c>
      <c r="F144" t="s">
        <v>10</v>
      </c>
      <c r="G144" s="1">
        <v>46198</v>
      </c>
    </row>
    <row r="145" spans="1:7" x14ac:dyDescent="0.35">
      <c r="A145" t="s">
        <v>179</v>
      </c>
      <c r="B145" t="s">
        <v>16</v>
      </c>
      <c r="C145" t="s">
        <v>17</v>
      </c>
      <c r="D145">
        <v>1</v>
      </c>
      <c r="E145">
        <v>476.66</v>
      </c>
      <c r="F145" t="s">
        <v>50</v>
      </c>
      <c r="G145" s="1">
        <v>46033</v>
      </c>
    </row>
    <row r="146" spans="1:7" x14ac:dyDescent="0.35">
      <c r="A146" t="s">
        <v>180</v>
      </c>
      <c r="B146" t="s">
        <v>55</v>
      </c>
      <c r="C146" t="s">
        <v>25</v>
      </c>
      <c r="D146">
        <v>5</v>
      </c>
      <c r="E146">
        <v>2463.1999999999998</v>
      </c>
      <c r="F146" t="s">
        <v>32</v>
      </c>
      <c r="G146" s="1">
        <v>46040</v>
      </c>
    </row>
    <row r="147" spans="1:7" x14ac:dyDescent="0.35">
      <c r="A147" t="s">
        <v>181</v>
      </c>
      <c r="B147" t="s">
        <v>80</v>
      </c>
      <c r="C147" t="s">
        <v>39</v>
      </c>
      <c r="D147">
        <v>3</v>
      </c>
      <c r="E147">
        <v>3790.63</v>
      </c>
      <c r="F147" t="s">
        <v>48</v>
      </c>
      <c r="G147" s="1">
        <v>46148</v>
      </c>
    </row>
    <row r="148" spans="1:7" x14ac:dyDescent="0.35">
      <c r="A148" t="s">
        <v>182</v>
      </c>
      <c r="B148" t="s">
        <v>31</v>
      </c>
      <c r="C148" t="s">
        <v>13</v>
      </c>
      <c r="D148">
        <v>4</v>
      </c>
      <c r="E148">
        <v>19658.84</v>
      </c>
      <c r="F148" t="s">
        <v>22</v>
      </c>
      <c r="G148" s="1">
        <v>46062</v>
      </c>
    </row>
    <row r="149" spans="1:7" x14ac:dyDescent="0.35">
      <c r="A149" t="s">
        <v>183</v>
      </c>
      <c r="B149" t="s">
        <v>28</v>
      </c>
      <c r="C149" t="s">
        <v>9</v>
      </c>
      <c r="D149">
        <v>2</v>
      </c>
      <c r="E149">
        <v>5232.75</v>
      </c>
      <c r="F149" t="s">
        <v>10</v>
      </c>
      <c r="G149" s="1">
        <v>46180</v>
      </c>
    </row>
    <row r="150" spans="1:7" x14ac:dyDescent="0.35">
      <c r="A150" t="s">
        <v>184</v>
      </c>
      <c r="B150" t="s">
        <v>62</v>
      </c>
      <c r="C150" t="s">
        <v>25</v>
      </c>
      <c r="D150">
        <v>5</v>
      </c>
      <c r="E150">
        <v>2108.8000000000002</v>
      </c>
      <c r="F150" t="s">
        <v>22</v>
      </c>
      <c r="G150" s="1">
        <v>46134</v>
      </c>
    </row>
    <row r="151" spans="1:7" x14ac:dyDescent="0.35">
      <c r="A151" t="s">
        <v>185</v>
      </c>
      <c r="B151" t="s">
        <v>38</v>
      </c>
      <c r="C151" t="s">
        <v>39</v>
      </c>
      <c r="D151">
        <v>5</v>
      </c>
      <c r="E151">
        <v>6198.91</v>
      </c>
      <c r="F151" t="s">
        <v>29</v>
      </c>
      <c r="G151" s="1">
        <v>46045</v>
      </c>
    </row>
    <row r="152" spans="1:7" x14ac:dyDescent="0.35">
      <c r="A152" t="s">
        <v>186</v>
      </c>
      <c r="B152" t="s">
        <v>24</v>
      </c>
      <c r="C152" t="s">
        <v>25</v>
      </c>
      <c r="D152">
        <v>4</v>
      </c>
      <c r="E152">
        <v>758.07</v>
      </c>
      <c r="F152" t="s">
        <v>22</v>
      </c>
      <c r="G152" s="1">
        <v>46168</v>
      </c>
    </row>
    <row r="153" spans="1:7" x14ac:dyDescent="0.35">
      <c r="A153" t="s">
        <v>187</v>
      </c>
      <c r="B153" t="s">
        <v>16</v>
      </c>
      <c r="C153" t="s">
        <v>17</v>
      </c>
      <c r="D153">
        <v>4</v>
      </c>
      <c r="E153">
        <v>435.28</v>
      </c>
      <c r="F153" t="s">
        <v>22</v>
      </c>
      <c r="G153" s="1">
        <v>46106</v>
      </c>
    </row>
    <row r="154" spans="1:7" x14ac:dyDescent="0.35">
      <c r="A154" t="s">
        <v>188</v>
      </c>
      <c r="B154" t="s">
        <v>72</v>
      </c>
      <c r="C154" t="s">
        <v>13</v>
      </c>
      <c r="D154">
        <v>4</v>
      </c>
      <c r="E154">
        <v>2073.33</v>
      </c>
      <c r="F154" t="s">
        <v>10</v>
      </c>
      <c r="G154" s="1">
        <v>46110</v>
      </c>
    </row>
    <row r="155" spans="1:7" x14ac:dyDescent="0.35">
      <c r="A155" t="s">
        <v>189</v>
      </c>
      <c r="B155" t="s">
        <v>24</v>
      </c>
      <c r="C155" t="s">
        <v>25</v>
      </c>
      <c r="D155">
        <v>5</v>
      </c>
      <c r="E155">
        <v>831.15</v>
      </c>
      <c r="F155" t="s">
        <v>10</v>
      </c>
      <c r="G155" s="1">
        <v>46165</v>
      </c>
    </row>
    <row r="156" spans="1:7" x14ac:dyDescent="0.35">
      <c r="A156" t="s">
        <v>190</v>
      </c>
      <c r="B156" t="s">
        <v>91</v>
      </c>
      <c r="C156" t="s">
        <v>13</v>
      </c>
      <c r="D156">
        <v>5</v>
      </c>
      <c r="E156">
        <v>59928.69</v>
      </c>
      <c r="F156" t="s">
        <v>18</v>
      </c>
      <c r="G156" s="1">
        <v>46084</v>
      </c>
    </row>
    <row r="157" spans="1:7" x14ac:dyDescent="0.35">
      <c r="A157" t="s">
        <v>191</v>
      </c>
      <c r="B157" t="s">
        <v>21</v>
      </c>
      <c r="C157" t="s">
        <v>13</v>
      </c>
      <c r="D157">
        <v>4</v>
      </c>
      <c r="E157">
        <v>27936.04</v>
      </c>
      <c r="F157" t="s">
        <v>29</v>
      </c>
      <c r="G157" s="1">
        <v>46199</v>
      </c>
    </row>
    <row r="158" spans="1:7" x14ac:dyDescent="0.35">
      <c r="A158" t="s">
        <v>192</v>
      </c>
      <c r="B158" t="s">
        <v>44</v>
      </c>
      <c r="C158" t="s">
        <v>39</v>
      </c>
      <c r="D158">
        <v>4</v>
      </c>
      <c r="E158">
        <v>3463.72</v>
      </c>
      <c r="F158" t="s">
        <v>46</v>
      </c>
      <c r="G158" s="1">
        <v>46046</v>
      </c>
    </row>
    <row r="159" spans="1:7" x14ac:dyDescent="0.35">
      <c r="A159" t="s">
        <v>193</v>
      </c>
      <c r="B159" t="s">
        <v>24</v>
      </c>
      <c r="C159" t="s">
        <v>25</v>
      </c>
      <c r="D159">
        <v>2</v>
      </c>
      <c r="E159">
        <v>783.72</v>
      </c>
      <c r="F159" t="s">
        <v>29</v>
      </c>
      <c r="G159" s="1">
        <v>46101</v>
      </c>
    </row>
    <row r="160" spans="1:7" x14ac:dyDescent="0.35">
      <c r="A160" t="s">
        <v>194</v>
      </c>
      <c r="B160" t="s">
        <v>8</v>
      </c>
      <c r="C160" t="s">
        <v>9</v>
      </c>
      <c r="D160">
        <v>5</v>
      </c>
      <c r="E160">
        <v>1752.85</v>
      </c>
      <c r="F160" t="s">
        <v>14</v>
      </c>
      <c r="G160" s="1">
        <v>46158</v>
      </c>
    </row>
    <row r="161" spans="1:7" x14ac:dyDescent="0.35">
      <c r="A161" t="s">
        <v>195</v>
      </c>
      <c r="B161" t="s">
        <v>55</v>
      </c>
      <c r="C161" t="s">
        <v>25</v>
      </c>
      <c r="D161">
        <v>4</v>
      </c>
      <c r="E161">
        <v>2747.22</v>
      </c>
      <c r="F161" t="s">
        <v>14</v>
      </c>
      <c r="G161" s="1">
        <v>46107</v>
      </c>
    </row>
    <row r="162" spans="1:7" x14ac:dyDescent="0.35">
      <c r="A162" t="s">
        <v>196</v>
      </c>
      <c r="B162" t="s">
        <v>55</v>
      </c>
      <c r="C162" t="s">
        <v>25</v>
      </c>
      <c r="D162">
        <v>4</v>
      </c>
      <c r="E162">
        <v>2384.5</v>
      </c>
      <c r="F162" t="s">
        <v>10</v>
      </c>
      <c r="G162" s="1">
        <v>46082</v>
      </c>
    </row>
    <row r="163" spans="1:7" x14ac:dyDescent="0.35">
      <c r="A163" t="s">
        <v>197</v>
      </c>
      <c r="B163" t="s">
        <v>31</v>
      </c>
      <c r="C163" t="s">
        <v>13</v>
      </c>
      <c r="D163">
        <v>2</v>
      </c>
      <c r="E163">
        <v>17335.97</v>
      </c>
      <c r="F163" t="s">
        <v>14</v>
      </c>
      <c r="G163" s="1">
        <v>46199</v>
      </c>
    </row>
    <row r="164" spans="1:7" x14ac:dyDescent="0.35">
      <c r="A164" t="s">
        <v>198</v>
      </c>
      <c r="B164" t="s">
        <v>72</v>
      </c>
      <c r="C164" t="s">
        <v>13</v>
      </c>
      <c r="D164">
        <v>2</v>
      </c>
      <c r="E164">
        <v>2075.21</v>
      </c>
      <c r="F164" t="s">
        <v>22</v>
      </c>
      <c r="G164" s="1">
        <v>46093</v>
      </c>
    </row>
    <row r="165" spans="1:7" x14ac:dyDescent="0.35">
      <c r="A165" t="s">
        <v>199</v>
      </c>
      <c r="B165" t="s">
        <v>21</v>
      </c>
      <c r="C165" t="s">
        <v>13</v>
      </c>
      <c r="D165">
        <v>5</v>
      </c>
      <c r="E165">
        <v>30669</v>
      </c>
      <c r="F165" t="s">
        <v>14</v>
      </c>
      <c r="G165" s="1">
        <v>46175</v>
      </c>
    </row>
    <row r="166" spans="1:7" x14ac:dyDescent="0.35">
      <c r="A166" t="s">
        <v>200</v>
      </c>
      <c r="B166" t="s">
        <v>24</v>
      </c>
      <c r="C166" t="s">
        <v>25</v>
      </c>
      <c r="D166">
        <v>1</v>
      </c>
      <c r="E166">
        <v>852.15</v>
      </c>
      <c r="F166" t="s">
        <v>10</v>
      </c>
      <c r="G166" s="1">
        <v>46081</v>
      </c>
    </row>
    <row r="167" spans="1:7" x14ac:dyDescent="0.35">
      <c r="A167" t="s">
        <v>201</v>
      </c>
      <c r="B167" t="s">
        <v>55</v>
      </c>
      <c r="C167" t="s">
        <v>25</v>
      </c>
      <c r="D167">
        <v>2</v>
      </c>
      <c r="E167">
        <v>2400.17</v>
      </c>
      <c r="F167" t="s">
        <v>14</v>
      </c>
      <c r="G167" s="1">
        <v>46055</v>
      </c>
    </row>
    <row r="168" spans="1:7" x14ac:dyDescent="0.35">
      <c r="A168" t="s">
        <v>202</v>
      </c>
      <c r="B168" t="s">
        <v>24</v>
      </c>
      <c r="C168" t="s">
        <v>25</v>
      </c>
      <c r="D168">
        <v>1</v>
      </c>
      <c r="E168">
        <v>874.79</v>
      </c>
      <c r="F168" t="s">
        <v>14</v>
      </c>
      <c r="G168" s="1">
        <v>46097</v>
      </c>
    </row>
    <row r="169" spans="1:7" x14ac:dyDescent="0.35">
      <c r="A169" t="s">
        <v>203</v>
      </c>
      <c r="B169" t="s">
        <v>21</v>
      </c>
      <c r="C169" t="s">
        <v>13</v>
      </c>
      <c r="D169">
        <v>2</v>
      </c>
      <c r="E169">
        <v>28772.07</v>
      </c>
      <c r="F169" t="s">
        <v>22</v>
      </c>
      <c r="G169" s="1">
        <v>46049</v>
      </c>
    </row>
    <row r="170" spans="1:7" x14ac:dyDescent="0.35">
      <c r="A170" t="s">
        <v>204</v>
      </c>
      <c r="B170" t="s">
        <v>38</v>
      </c>
      <c r="C170" t="s">
        <v>39</v>
      </c>
      <c r="D170">
        <v>1</v>
      </c>
      <c r="E170">
        <v>6596.28</v>
      </c>
      <c r="F170" t="s">
        <v>22</v>
      </c>
      <c r="G170" s="1">
        <v>46145</v>
      </c>
    </row>
    <row r="171" spans="1:7" x14ac:dyDescent="0.35">
      <c r="A171" t="s">
        <v>205</v>
      </c>
      <c r="B171" t="s">
        <v>44</v>
      </c>
      <c r="C171" t="s">
        <v>39</v>
      </c>
      <c r="D171">
        <v>3</v>
      </c>
      <c r="E171">
        <v>3279.05</v>
      </c>
      <c r="F171" t="s">
        <v>46</v>
      </c>
      <c r="G171" s="1">
        <v>46087</v>
      </c>
    </row>
    <row r="172" spans="1:7" x14ac:dyDescent="0.35">
      <c r="A172" t="s">
        <v>206</v>
      </c>
      <c r="B172" t="s">
        <v>38</v>
      </c>
      <c r="C172" t="s">
        <v>39</v>
      </c>
      <c r="D172">
        <v>4</v>
      </c>
      <c r="E172">
        <v>5998.31</v>
      </c>
      <c r="F172" t="s">
        <v>18</v>
      </c>
      <c r="G172" s="1">
        <v>46125</v>
      </c>
    </row>
    <row r="173" spans="1:7" x14ac:dyDescent="0.35">
      <c r="A173" t="s">
        <v>207</v>
      </c>
      <c r="B173" t="s">
        <v>44</v>
      </c>
      <c r="C173" t="s">
        <v>39</v>
      </c>
      <c r="D173">
        <v>1</v>
      </c>
      <c r="E173">
        <v>3553.91</v>
      </c>
      <c r="F173" t="s">
        <v>46</v>
      </c>
      <c r="G173" s="1">
        <v>46061</v>
      </c>
    </row>
    <row r="174" spans="1:7" x14ac:dyDescent="0.35">
      <c r="A174" t="s">
        <v>208</v>
      </c>
      <c r="B174" t="s">
        <v>72</v>
      </c>
      <c r="C174" t="s">
        <v>13</v>
      </c>
      <c r="D174">
        <v>5</v>
      </c>
      <c r="E174">
        <v>2397.62</v>
      </c>
      <c r="F174" t="s">
        <v>18</v>
      </c>
      <c r="G174" s="1">
        <v>46086</v>
      </c>
    </row>
    <row r="175" spans="1:7" x14ac:dyDescent="0.35">
      <c r="A175" t="s">
        <v>209</v>
      </c>
      <c r="B175" t="s">
        <v>31</v>
      </c>
      <c r="C175" t="s">
        <v>13</v>
      </c>
      <c r="D175">
        <v>5</v>
      </c>
      <c r="E175">
        <v>18952</v>
      </c>
      <c r="F175" t="s">
        <v>50</v>
      </c>
      <c r="G175" s="1">
        <v>46175</v>
      </c>
    </row>
    <row r="176" spans="1:7" x14ac:dyDescent="0.35">
      <c r="A176" t="s">
        <v>210</v>
      </c>
      <c r="B176" t="s">
        <v>62</v>
      </c>
      <c r="C176" t="s">
        <v>25</v>
      </c>
      <c r="D176">
        <v>5</v>
      </c>
      <c r="E176">
        <v>1889.33</v>
      </c>
      <c r="F176" t="s">
        <v>14</v>
      </c>
      <c r="G176" s="1">
        <v>46120</v>
      </c>
    </row>
    <row r="177" spans="1:7" x14ac:dyDescent="0.35">
      <c r="A177" t="s">
        <v>211</v>
      </c>
      <c r="B177" t="s">
        <v>44</v>
      </c>
      <c r="C177" t="s">
        <v>39</v>
      </c>
      <c r="D177">
        <v>4</v>
      </c>
      <c r="E177">
        <v>3358.15</v>
      </c>
      <c r="F177" t="s">
        <v>50</v>
      </c>
      <c r="G177" s="1">
        <v>46132</v>
      </c>
    </row>
    <row r="178" spans="1:7" x14ac:dyDescent="0.35">
      <c r="A178" t="s">
        <v>212</v>
      </c>
      <c r="B178" t="s">
        <v>24</v>
      </c>
      <c r="C178" t="s">
        <v>25</v>
      </c>
      <c r="D178">
        <v>5</v>
      </c>
      <c r="E178">
        <v>818.34</v>
      </c>
      <c r="F178" t="s">
        <v>50</v>
      </c>
      <c r="G178" s="1">
        <v>46048</v>
      </c>
    </row>
    <row r="179" spans="1:7" x14ac:dyDescent="0.35">
      <c r="A179" t="s">
        <v>213</v>
      </c>
      <c r="B179" t="s">
        <v>62</v>
      </c>
      <c r="C179" t="s">
        <v>25</v>
      </c>
      <c r="D179">
        <v>2</v>
      </c>
      <c r="E179">
        <v>2049.1799999999998</v>
      </c>
      <c r="F179" t="s">
        <v>10</v>
      </c>
      <c r="G179" s="1">
        <v>46192</v>
      </c>
    </row>
    <row r="180" spans="1:7" x14ac:dyDescent="0.35">
      <c r="A180" t="s">
        <v>214</v>
      </c>
      <c r="B180" t="s">
        <v>31</v>
      </c>
      <c r="C180" t="s">
        <v>13</v>
      </c>
      <c r="D180">
        <v>2</v>
      </c>
      <c r="E180">
        <v>17063.509999999998</v>
      </c>
      <c r="F180" t="s">
        <v>14</v>
      </c>
      <c r="G180" s="1">
        <v>46042</v>
      </c>
    </row>
    <row r="181" spans="1:7" x14ac:dyDescent="0.35">
      <c r="A181" t="s">
        <v>215</v>
      </c>
      <c r="B181" t="s">
        <v>72</v>
      </c>
      <c r="C181" t="s">
        <v>13</v>
      </c>
      <c r="D181">
        <v>1</v>
      </c>
      <c r="E181">
        <v>2159.75</v>
      </c>
      <c r="F181" t="s">
        <v>50</v>
      </c>
      <c r="G181" s="1">
        <v>46143</v>
      </c>
    </row>
    <row r="182" spans="1:7" x14ac:dyDescent="0.35">
      <c r="A182" t="s">
        <v>216</v>
      </c>
      <c r="B182" t="s">
        <v>24</v>
      </c>
      <c r="C182" t="s">
        <v>25</v>
      </c>
      <c r="D182">
        <v>1</v>
      </c>
      <c r="E182">
        <v>756.09</v>
      </c>
      <c r="F182" t="s">
        <v>10</v>
      </c>
      <c r="G182" s="1">
        <v>46202</v>
      </c>
    </row>
    <row r="183" spans="1:7" x14ac:dyDescent="0.35">
      <c r="A183" t="s">
        <v>217</v>
      </c>
      <c r="B183" t="s">
        <v>38</v>
      </c>
      <c r="C183" t="s">
        <v>39</v>
      </c>
      <c r="D183">
        <v>4</v>
      </c>
      <c r="E183">
        <v>5942.53</v>
      </c>
      <c r="F183" t="s">
        <v>29</v>
      </c>
      <c r="G183" s="1">
        <v>46090</v>
      </c>
    </row>
    <row r="184" spans="1:7" x14ac:dyDescent="0.35">
      <c r="A184" t="s">
        <v>218</v>
      </c>
      <c r="B184" t="s">
        <v>62</v>
      </c>
      <c r="C184" t="s">
        <v>25</v>
      </c>
      <c r="D184">
        <v>5</v>
      </c>
      <c r="E184">
        <v>2063.44</v>
      </c>
      <c r="F184" t="s">
        <v>29</v>
      </c>
      <c r="G184" s="1">
        <v>46131</v>
      </c>
    </row>
    <row r="185" spans="1:7" x14ac:dyDescent="0.35">
      <c r="A185" t="s">
        <v>219</v>
      </c>
      <c r="B185" t="s">
        <v>31</v>
      </c>
      <c r="C185" t="s">
        <v>13</v>
      </c>
      <c r="D185">
        <v>5</v>
      </c>
      <c r="E185">
        <v>17009.310000000001</v>
      </c>
      <c r="F185" t="s">
        <v>26</v>
      </c>
      <c r="G185" s="1">
        <v>46091</v>
      </c>
    </row>
    <row r="186" spans="1:7" x14ac:dyDescent="0.35">
      <c r="A186" t="s">
        <v>220</v>
      </c>
      <c r="B186" t="s">
        <v>38</v>
      </c>
      <c r="C186" t="s">
        <v>39</v>
      </c>
      <c r="D186">
        <v>2</v>
      </c>
      <c r="E186">
        <v>5942.83</v>
      </c>
      <c r="F186" t="s">
        <v>26</v>
      </c>
      <c r="G186" s="1">
        <v>46101</v>
      </c>
    </row>
    <row r="187" spans="1:7" x14ac:dyDescent="0.35">
      <c r="A187" t="s">
        <v>221</v>
      </c>
      <c r="B187" t="s">
        <v>16</v>
      </c>
      <c r="C187" t="s">
        <v>17</v>
      </c>
      <c r="D187">
        <v>5</v>
      </c>
      <c r="E187">
        <v>487.91</v>
      </c>
      <c r="F187" t="s">
        <v>22</v>
      </c>
      <c r="G187" s="1">
        <v>46054</v>
      </c>
    </row>
    <row r="188" spans="1:7" x14ac:dyDescent="0.35">
      <c r="A188" t="s">
        <v>222</v>
      </c>
      <c r="B188" t="s">
        <v>44</v>
      </c>
      <c r="C188" t="s">
        <v>39</v>
      </c>
      <c r="D188">
        <v>3</v>
      </c>
      <c r="E188">
        <v>3639.81</v>
      </c>
      <c r="F188" t="s">
        <v>10</v>
      </c>
      <c r="G188" s="1">
        <v>46151</v>
      </c>
    </row>
    <row r="189" spans="1:7" x14ac:dyDescent="0.35">
      <c r="A189" t="s">
        <v>223</v>
      </c>
      <c r="B189" t="s">
        <v>80</v>
      </c>
      <c r="C189" t="s">
        <v>39</v>
      </c>
      <c r="D189">
        <v>4</v>
      </c>
      <c r="E189">
        <v>4147.72</v>
      </c>
      <c r="F189" t="s">
        <v>50</v>
      </c>
      <c r="G189" s="1">
        <v>46033</v>
      </c>
    </row>
    <row r="190" spans="1:7" x14ac:dyDescent="0.35">
      <c r="A190" t="s">
        <v>224</v>
      </c>
      <c r="B190" t="s">
        <v>28</v>
      </c>
      <c r="C190" t="s">
        <v>9</v>
      </c>
      <c r="D190">
        <v>3</v>
      </c>
      <c r="E190">
        <v>5102.6899999999996</v>
      </c>
      <c r="F190" t="s">
        <v>46</v>
      </c>
      <c r="G190" s="1">
        <v>46046</v>
      </c>
    </row>
    <row r="191" spans="1:7" x14ac:dyDescent="0.35">
      <c r="A191" t="s">
        <v>225</v>
      </c>
      <c r="B191" t="s">
        <v>12</v>
      </c>
      <c r="C191" t="s">
        <v>13</v>
      </c>
      <c r="D191">
        <v>5</v>
      </c>
      <c r="E191">
        <v>1526.14</v>
      </c>
      <c r="F191" t="s">
        <v>46</v>
      </c>
      <c r="G191" s="1">
        <v>46195</v>
      </c>
    </row>
    <row r="192" spans="1:7" x14ac:dyDescent="0.35">
      <c r="A192" t="s">
        <v>226</v>
      </c>
      <c r="B192" t="s">
        <v>38</v>
      </c>
      <c r="C192" t="s">
        <v>39</v>
      </c>
      <c r="D192">
        <v>3</v>
      </c>
      <c r="E192">
        <v>6599.12</v>
      </c>
      <c r="F192" t="s">
        <v>26</v>
      </c>
      <c r="G192" s="1">
        <v>46143</v>
      </c>
    </row>
    <row r="193" spans="1:7" x14ac:dyDescent="0.35">
      <c r="A193" t="s">
        <v>227</v>
      </c>
      <c r="B193" t="s">
        <v>80</v>
      </c>
      <c r="C193" t="s">
        <v>39</v>
      </c>
      <c r="D193">
        <v>4</v>
      </c>
      <c r="E193">
        <v>4549.5</v>
      </c>
      <c r="F193" t="s">
        <v>26</v>
      </c>
      <c r="G193" s="1">
        <v>46172</v>
      </c>
    </row>
    <row r="194" spans="1:7" x14ac:dyDescent="0.35">
      <c r="A194" t="s">
        <v>228</v>
      </c>
      <c r="B194" t="s">
        <v>28</v>
      </c>
      <c r="C194" t="s">
        <v>9</v>
      </c>
      <c r="D194">
        <v>4</v>
      </c>
      <c r="E194">
        <v>5467.96</v>
      </c>
      <c r="F194" t="s">
        <v>22</v>
      </c>
      <c r="G194" s="1">
        <v>46112</v>
      </c>
    </row>
    <row r="195" spans="1:7" x14ac:dyDescent="0.35">
      <c r="A195" t="s">
        <v>229</v>
      </c>
      <c r="B195" t="s">
        <v>28</v>
      </c>
      <c r="C195" t="s">
        <v>9</v>
      </c>
      <c r="D195">
        <v>3</v>
      </c>
      <c r="E195">
        <v>4820.09</v>
      </c>
      <c r="F195" t="s">
        <v>18</v>
      </c>
      <c r="G195" s="1">
        <v>46064</v>
      </c>
    </row>
    <row r="196" spans="1:7" x14ac:dyDescent="0.35">
      <c r="A196" t="s">
        <v>230</v>
      </c>
      <c r="B196" t="s">
        <v>55</v>
      </c>
      <c r="C196" t="s">
        <v>25</v>
      </c>
      <c r="D196">
        <v>4</v>
      </c>
      <c r="E196">
        <v>2595.8000000000002</v>
      </c>
      <c r="F196" t="s">
        <v>10</v>
      </c>
      <c r="G196" s="1">
        <v>46192</v>
      </c>
    </row>
    <row r="197" spans="1:7" x14ac:dyDescent="0.35">
      <c r="A197" t="s">
        <v>231</v>
      </c>
      <c r="B197" t="s">
        <v>28</v>
      </c>
      <c r="C197" t="s">
        <v>9</v>
      </c>
      <c r="D197">
        <v>5</v>
      </c>
      <c r="E197">
        <v>4535.79</v>
      </c>
      <c r="F197" t="s">
        <v>18</v>
      </c>
      <c r="G197" s="1">
        <v>46103</v>
      </c>
    </row>
    <row r="198" spans="1:7" x14ac:dyDescent="0.35">
      <c r="A198" t="s">
        <v>232</v>
      </c>
      <c r="B198" t="s">
        <v>24</v>
      </c>
      <c r="C198" t="s">
        <v>25</v>
      </c>
      <c r="D198">
        <v>3</v>
      </c>
      <c r="E198">
        <v>737.62</v>
      </c>
      <c r="F198" t="s">
        <v>48</v>
      </c>
      <c r="G198" s="1">
        <v>46154</v>
      </c>
    </row>
    <row r="199" spans="1:7" x14ac:dyDescent="0.35">
      <c r="A199" t="s">
        <v>233</v>
      </c>
      <c r="B199" t="s">
        <v>38</v>
      </c>
      <c r="C199" t="s">
        <v>39</v>
      </c>
      <c r="D199">
        <v>1</v>
      </c>
      <c r="E199">
        <v>6704.96</v>
      </c>
      <c r="F199" t="s">
        <v>14</v>
      </c>
      <c r="G199" s="1">
        <v>46141</v>
      </c>
    </row>
    <row r="200" spans="1:7" x14ac:dyDescent="0.35">
      <c r="A200" t="s">
        <v>234</v>
      </c>
      <c r="B200" t="s">
        <v>28</v>
      </c>
      <c r="C200" t="s">
        <v>9</v>
      </c>
      <c r="D200">
        <v>1</v>
      </c>
      <c r="E200">
        <v>4686.6499999999996</v>
      </c>
      <c r="F200" t="s">
        <v>32</v>
      </c>
      <c r="G200" s="1">
        <v>46182</v>
      </c>
    </row>
    <row r="201" spans="1:7" x14ac:dyDescent="0.35">
      <c r="A201" t="s">
        <v>235</v>
      </c>
      <c r="B201" t="s">
        <v>62</v>
      </c>
      <c r="C201" t="s">
        <v>25</v>
      </c>
      <c r="D201">
        <v>4</v>
      </c>
      <c r="E201">
        <v>2049.14</v>
      </c>
      <c r="F201" t="s">
        <v>46</v>
      </c>
      <c r="G201" s="1">
        <v>46075</v>
      </c>
    </row>
    <row r="202" spans="1:7" x14ac:dyDescent="0.35">
      <c r="A202" t="s">
        <v>236</v>
      </c>
      <c r="B202" t="s">
        <v>24</v>
      </c>
      <c r="C202" t="s">
        <v>25</v>
      </c>
      <c r="D202">
        <v>5</v>
      </c>
      <c r="E202">
        <v>740.04</v>
      </c>
      <c r="F202" t="s">
        <v>10</v>
      </c>
      <c r="G202" s="1">
        <v>46135</v>
      </c>
    </row>
    <row r="203" spans="1:7" x14ac:dyDescent="0.35">
      <c r="A203" t="s">
        <v>237</v>
      </c>
      <c r="B203" t="s">
        <v>21</v>
      </c>
      <c r="C203" t="s">
        <v>13</v>
      </c>
      <c r="D203">
        <v>4</v>
      </c>
      <c r="E203">
        <v>25879.99</v>
      </c>
      <c r="F203" t="s">
        <v>50</v>
      </c>
      <c r="G203" s="1">
        <v>46084</v>
      </c>
    </row>
    <row r="204" spans="1:7" x14ac:dyDescent="0.35">
      <c r="A204" t="s">
        <v>238</v>
      </c>
      <c r="B204" t="s">
        <v>21</v>
      </c>
      <c r="C204" t="s">
        <v>13</v>
      </c>
      <c r="D204">
        <v>2</v>
      </c>
      <c r="E204">
        <v>26940.2</v>
      </c>
      <c r="F204" t="s">
        <v>46</v>
      </c>
      <c r="G204" s="1">
        <v>46164</v>
      </c>
    </row>
    <row r="205" spans="1:7" x14ac:dyDescent="0.35">
      <c r="A205" t="s">
        <v>239</v>
      </c>
      <c r="B205" t="s">
        <v>28</v>
      </c>
      <c r="C205" t="s">
        <v>9</v>
      </c>
      <c r="D205">
        <v>1</v>
      </c>
      <c r="E205">
        <v>4723.76</v>
      </c>
      <c r="F205" t="s">
        <v>18</v>
      </c>
      <c r="G205" s="1">
        <v>46141</v>
      </c>
    </row>
    <row r="206" spans="1:7" x14ac:dyDescent="0.35">
      <c r="A206" t="s">
        <v>240</v>
      </c>
      <c r="B206" t="s">
        <v>31</v>
      </c>
      <c r="C206" t="s">
        <v>13</v>
      </c>
      <c r="D206">
        <v>2</v>
      </c>
      <c r="E206">
        <v>17994.150000000001</v>
      </c>
      <c r="F206" t="s">
        <v>10</v>
      </c>
      <c r="G206" s="1">
        <v>46153</v>
      </c>
    </row>
    <row r="207" spans="1:7" x14ac:dyDescent="0.35">
      <c r="A207" t="s">
        <v>241</v>
      </c>
      <c r="B207" t="s">
        <v>21</v>
      </c>
      <c r="C207" t="s">
        <v>13</v>
      </c>
      <c r="D207">
        <v>3</v>
      </c>
      <c r="E207">
        <v>27526.75</v>
      </c>
      <c r="F207" t="s">
        <v>22</v>
      </c>
      <c r="G207" s="1">
        <v>46143</v>
      </c>
    </row>
    <row r="208" spans="1:7" x14ac:dyDescent="0.35">
      <c r="A208" t="s">
        <v>242</v>
      </c>
      <c r="B208" t="s">
        <v>12</v>
      </c>
      <c r="C208" t="s">
        <v>13</v>
      </c>
      <c r="D208">
        <v>4</v>
      </c>
      <c r="E208">
        <v>1515.38</v>
      </c>
      <c r="F208" t="s">
        <v>48</v>
      </c>
      <c r="G208" s="1">
        <v>46071</v>
      </c>
    </row>
    <row r="209" spans="1:7" x14ac:dyDescent="0.35">
      <c r="A209" t="s">
        <v>243</v>
      </c>
      <c r="B209" t="s">
        <v>16</v>
      </c>
      <c r="C209" t="s">
        <v>17</v>
      </c>
      <c r="D209">
        <v>5</v>
      </c>
      <c r="E209">
        <v>472.17</v>
      </c>
      <c r="F209" t="s">
        <v>26</v>
      </c>
      <c r="G209" s="1">
        <v>46040</v>
      </c>
    </row>
    <row r="210" spans="1:7" x14ac:dyDescent="0.35">
      <c r="A210" t="s">
        <v>244</v>
      </c>
      <c r="B210" t="s">
        <v>24</v>
      </c>
      <c r="C210" t="s">
        <v>25</v>
      </c>
      <c r="D210">
        <v>4</v>
      </c>
      <c r="E210">
        <v>773.41</v>
      </c>
      <c r="F210" t="s">
        <v>14</v>
      </c>
      <c r="G210" s="1">
        <v>46091</v>
      </c>
    </row>
    <row r="211" spans="1:7" x14ac:dyDescent="0.35">
      <c r="A211" t="s">
        <v>245</v>
      </c>
      <c r="B211" t="s">
        <v>38</v>
      </c>
      <c r="C211" t="s">
        <v>39</v>
      </c>
      <c r="D211">
        <v>1</v>
      </c>
      <c r="E211">
        <v>6217.69</v>
      </c>
      <c r="F211" t="s">
        <v>10</v>
      </c>
      <c r="G211" s="1">
        <v>46173</v>
      </c>
    </row>
    <row r="212" spans="1:7" x14ac:dyDescent="0.35">
      <c r="A212" t="s">
        <v>246</v>
      </c>
      <c r="B212" t="s">
        <v>16</v>
      </c>
      <c r="C212" t="s">
        <v>17</v>
      </c>
      <c r="D212">
        <v>4</v>
      </c>
      <c r="E212">
        <v>482.87</v>
      </c>
      <c r="F212" t="s">
        <v>22</v>
      </c>
      <c r="G212" s="1">
        <v>46160</v>
      </c>
    </row>
    <row r="213" spans="1:7" x14ac:dyDescent="0.35">
      <c r="A213" t="s">
        <v>247</v>
      </c>
      <c r="B213" t="s">
        <v>44</v>
      </c>
      <c r="C213" t="s">
        <v>39</v>
      </c>
      <c r="D213">
        <v>3</v>
      </c>
      <c r="E213">
        <v>3382.71</v>
      </c>
      <c r="F213" t="s">
        <v>14</v>
      </c>
      <c r="G213" s="1">
        <v>46119</v>
      </c>
    </row>
    <row r="214" spans="1:7" x14ac:dyDescent="0.35">
      <c r="A214" t="s">
        <v>248</v>
      </c>
      <c r="B214" t="s">
        <v>44</v>
      </c>
      <c r="C214" t="s">
        <v>39</v>
      </c>
      <c r="D214">
        <v>3</v>
      </c>
      <c r="E214">
        <v>3758.72</v>
      </c>
      <c r="F214" t="s">
        <v>29</v>
      </c>
      <c r="G214" s="1">
        <v>46169</v>
      </c>
    </row>
    <row r="215" spans="1:7" x14ac:dyDescent="0.35">
      <c r="A215" t="s">
        <v>249</v>
      </c>
      <c r="B215" t="s">
        <v>28</v>
      </c>
      <c r="C215" t="s">
        <v>9</v>
      </c>
      <c r="D215">
        <v>2</v>
      </c>
      <c r="E215">
        <v>5354.94</v>
      </c>
      <c r="F215" t="s">
        <v>48</v>
      </c>
      <c r="G215" s="1">
        <v>46034</v>
      </c>
    </row>
    <row r="216" spans="1:7" x14ac:dyDescent="0.35">
      <c r="A216" t="s">
        <v>250</v>
      </c>
      <c r="B216" t="s">
        <v>55</v>
      </c>
      <c r="C216" t="s">
        <v>25</v>
      </c>
      <c r="D216">
        <v>4</v>
      </c>
      <c r="E216">
        <v>2601.5700000000002</v>
      </c>
      <c r="F216" t="s">
        <v>48</v>
      </c>
      <c r="G216" s="1">
        <v>46121</v>
      </c>
    </row>
    <row r="217" spans="1:7" x14ac:dyDescent="0.35">
      <c r="A217" t="s">
        <v>251</v>
      </c>
      <c r="B217" t="s">
        <v>8</v>
      </c>
      <c r="C217" t="s">
        <v>9</v>
      </c>
      <c r="D217">
        <v>2</v>
      </c>
      <c r="E217">
        <v>1798.32</v>
      </c>
      <c r="F217" t="s">
        <v>46</v>
      </c>
      <c r="G217" s="1">
        <v>46055</v>
      </c>
    </row>
    <row r="218" spans="1:7" x14ac:dyDescent="0.35">
      <c r="A218" t="s">
        <v>252</v>
      </c>
      <c r="B218" t="s">
        <v>80</v>
      </c>
      <c r="C218" t="s">
        <v>39</v>
      </c>
      <c r="D218">
        <v>5</v>
      </c>
      <c r="E218">
        <v>4058.88</v>
      </c>
      <c r="F218" t="s">
        <v>18</v>
      </c>
      <c r="G218" s="1">
        <v>46135</v>
      </c>
    </row>
    <row r="219" spans="1:7" x14ac:dyDescent="0.35">
      <c r="A219" t="s">
        <v>253</v>
      </c>
      <c r="B219" t="s">
        <v>31</v>
      </c>
      <c r="C219" t="s">
        <v>13</v>
      </c>
      <c r="D219">
        <v>5</v>
      </c>
      <c r="E219">
        <v>19477.59</v>
      </c>
      <c r="F219" t="s">
        <v>46</v>
      </c>
      <c r="G219" s="1">
        <v>46059</v>
      </c>
    </row>
    <row r="220" spans="1:7" x14ac:dyDescent="0.35">
      <c r="A220" t="s">
        <v>254</v>
      </c>
      <c r="B220" t="s">
        <v>28</v>
      </c>
      <c r="C220" t="s">
        <v>9</v>
      </c>
      <c r="D220">
        <v>2</v>
      </c>
      <c r="E220">
        <v>4573.91</v>
      </c>
      <c r="F220" t="s">
        <v>10</v>
      </c>
      <c r="G220" s="1">
        <v>46109</v>
      </c>
    </row>
    <row r="221" spans="1:7" x14ac:dyDescent="0.35">
      <c r="A221" t="s">
        <v>255</v>
      </c>
      <c r="B221" t="s">
        <v>16</v>
      </c>
      <c r="C221" t="s">
        <v>17</v>
      </c>
      <c r="D221">
        <v>4</v>
      </c>
      <c r="E221">
        <v>463.49</v>
      </c>
      <c r="F221" t="s">
        <v>32</v>
      </c>
      <c r="G221" s="1">
        <v>46195</v>
      </c>
    </row>
    <row r="222" spans="1:7" x14ac:dyDescent="0.35">
      <c r="A222" t="s">
        <v>256</v>
      </c>
      <c r="B222" t="s">
        <v>38</v>
      </c>
      <c r="C222" t="s">
        <v>39</v>
      </c>
      <c r="D222">
        <v>5</v>
      </c>
      <c r="E222">
        <v>6344.01</v>
      </c>
      <c r="F222" t="s">
        <v>32</v>
      </c>
      <c r="G222" s="1">
        <v>46183</v>
      </c>
    </row>
    <row r="223" spans="1:7" x14ac:dyDescent="0.35">
      <c r="A223" t="s">
        <v>257</v>
      </c>
      <c r="B223" t="s">
        <v>21</v>
      </c>
      <c r="C223" t="s">
        <v>13</v>
      </c>
      <c r="D223">
        <v>4</v>
      </c>
      <c r="E223">
        <v>30085.34</v>
      </c>
      <c r="F223" t="s">
        <v>46</v>
      </c>
      <c r="G223" s="1">
        <v>46181</v>
      </c>
    </row>
    <row r="224" spans="1:7" x14ac:dyDescent="0.35">
      <c r="A224" t="s">
        <v>258</v>
      </c>
      <c r="B224" t="s">
        <v>31</v>
      </c>
      <c r="C224" t="s">
        <v>13</v>
      </c>
      <c r="D224">
        <v>2</v>
      </c>
      <c r="E224">
        <v>18472.18</v>
      </c>
      <c r="F224" t="s">
        <v>10</v>
      </c>
      <c r="G224" s="1">
        <v>46081</v>
      </c>
    </row>
    <row r="225" spans="1:7" x14ac:dyDescent="0.35">
      <c r="A225" t="s">
        <v>259</v>
      </c>
      <c r="B225" t="s">
        <v>21</v>
      </c>
      <c r="C225" t="s">
        <v>13</v>
      </c>
      <c r="D225">
        <v>1</v>
      </c>
      <c r="E225">
        <v>27630.240000000002</v>
      </c>
      <c r="F225" t="s">
        <v>18</v>
      </c>
      <c r="G225" s="1">
        <v>46185</v>
      </c>
    </row>
    <row r="226" spans="1:7" x14ac:dyDescent="0.35">
      <c r="A226" t="s">
        <v>260</v>
      </c>
      <c r="B226" t="s">
        <v>21</v>
      </c>
      <c r="C226" t="s">
        <v>13</v>
      </c>
      <c r="D226">
        <v>1</v>
      </c>
      <c r="E226">
        <v>27684.6</v>
      </c>
      <c r="F226" t="s">
        <v>10</v>
      </c>
      <c r="G226" s="1">
        <v>46030</v>
      </c>
    </row>
    <row r="227" spans="1:7" x14ac:dyDescent="0.35">
      <c r="A227" t="s">
        <v>261</v>
      </c>
      <c r="B227" t="s">
        <v>91</v>
      </c>
      <c r="C227" t="s">
        <v>13</v>
      </c>
      <c r="D227">
        <v>3</v>
      </c>
      <c r="E227">
        <v>58257.58</v>
      </c>
      <c r="F227" t="s">
        <v>10</v>
      </c>
      <c r="G227" s="1">
        <v>46114</v>
      </c>
    </row>
    <row r="228" spans="1:7" x14ac:dyDescent="0.35">
      <c r="A228" t="s">
        <v>262</v>
      </c>
      <c r="B228" t="s">
        <v>55</v>
      </c>
      <c r="C228" t="s">
        <v>25</v>
      </c>
      <c r="D228">
        <v>4</v>
      </c>
      <c r="E228">
        <v>2321.86</v>
      </c>
      <c r="F228" t="s">
        <v>14</v>
      </c>
      <c r="G228" s="1">
        <v>46128</v>
      </c>
    </row>
    <row r="229" spans="1:7" x14ac:dyDescent="0.35">
      <c r="A229" t="s">
        <v>263</v>
      </c>
      <c r="B229" t="s">
        <v>16</v>
      </c>
      <c r="C229" t="s">
        <v>17</v>
      </c>
      <c r="D229">
        <v>2</v>
      </c>
      <c r="E229">
        <v>420.3</v>
      </c>
      <c r="F229" t="s">
        <v>18</v>
      </c>
      <c r="G229" s="1">
        <v>46179</v>
      </c>
    </row>
    <row r="230" spans="1:7" x14ac:dyDescent="0.35">
      <c r="A230" t="s">
        <v>264</v>
      </c>
      <c r="B230" t="s">
        <v>38</v>
      </c>
      <c r="C230" t="s">
        <v>39</v>
      </c>
      <c r="D230">
        <v>4</v>
      </c>
      <c r="E230">
        <v>6655.62</v>
      </c>
      <c r="F230" t="s">
        <v>29</v>
      </c>
      <c r="G230" s="1">
        <v>46150</v>
      </c>
    </row>
    <row r="231" spans="1:7" x14ac:dyDescent="0.35">
      <c r="A231" t="s">
        <v>265</v>
      </c>
      <c r="B231" t="s">
        <v>16</v>
      </c>
      <c r="C231" t="s">
        <v>17</v>
      </c>
      <c r="D231">
        <v>2</v>
      </c>
      <c r="E231">
        <v>425.9</v>
      </c>
      <c r="F231" t="s">
        <v>10</v>
      </c>
      <c r="G231" s="1">
        <v>46140</v>
      </c>
    </row>
    <row r="232" spans="1:7" x14ac:dyDescent="0.35">
      <c r="A232" t="s">
        <v>266</v>
      </c>
      <c r="B232" t="s">
        <v>24</v>
      </c>
      <c r="C232" t="s">
        <v>25</v>
      </c>
      <c r="D232">
        <v>1</v>
      </c>
      <c r="E232">
        <v>862.75</v>
      </c>
      <c r="F232" t="s">
        <v>22</v>
      </c>
      <c r="G232" s="1">
        <v>46096</v>
      </c>
    </row>
    <row r="233" spans="1:7" x14ac:dyDescent="0.35">
      <c r="A233" t="s">
        <v>267</v>
      </c>
      <c r="B233" t="s">
        <v>8</v>
      </c>
      <c r="C233" t="s">
        <v>9</v>
      </c>
      <c r="D233">
        <v>5</v>
      </c>
      <c r="E233">
        <v>1676.87</v>
      </c>
      <c r="F233" t="s">
        <v>22</v>
      </c>
      <c r="G233" s="1">
        <v>46111</v>
      </c>
    </row>
    <row r="234" spans="1:7" x14ac:dyDescent="0.35">
      <c r="A234" t="s">
        <v>268</v>
      </c>
      <c r="B234" t="s">
        <v>16</v>
      </c>
      <c r="C234" t="s">
        <v>17</v>
      </c>
      <c r="D234">
        <v>3</v>
      </c>
      <c r="E234">
        <v>462.5</v>
      </c>
      <c r="F234" t="s">
        <v>48</v>
      </c>
      <c r="G234" s="1">
        <v>46199</v>
      </c>
    </row>
    <row r="235" spans="1:7" x14ac:dyDescent="0.35">
      <c r="A235" t="s">
        <v>269</v>
      </c>
      <c r="B235" t="s">
        <v>24</v>
      </c>
      <c r="C235" t="s">
        <v>25</v>
      </c>
      <c r="D235">
        <v>4</v>
      </c>
      <c r="E235">
        <v>854.18</v>
      </c>
      <c r="F235" t="s">
        <v>29</v>
      </c>
      <c r="G235" s="1">
        <v>46121</v>
      </c>
    </row>
    <row r="236" spans="1:7" x14ac:dyDescent="0.35">
      <c r="A236" t="s">
        <v>270</v>
      </c>
      <c r="B236" t="s">
        <v>38</v>
      </c>
      <c r="C236" t="s">
        <v>39</v>
      </c>
      <c r="D236">
        <v>4</v>
      </c>
      <c r="E236">
        <v>5988.65</v>
      </c>
      <c r="F236" t="s">
        <v>48</v>
      </c>
      <c r="G236" s="1">
        <v>46169</v>
      </c>
    </row>
    <row r="237" spans="1:7" x14ac:dyDescent="0.35">
      <c r="A237" t="s">
        <v>271</v>
      </c>
      <c r="B237" t="s">
        <v>55</v>
      </c>
      <c r="C237" t="s">
        <v>25</v>
      </c>
      <c r="D237">
        <v>5</v>
      </c>
      <c r="E237">
        <v>2396.98</v>
      </c>
      <c r="F237" t="s">
        <v>10</v>
      </c>
      <c r="G237" s="1">
        <v>46028</v>
      </c>
    </row>
    <row r="238" spans="1:7" x14ac:dyDescent="0.35">
      <c r="A238" t="s">
        <v>272</v>
      </c>
      <c r="B238" t="s">
        <v>38</v>
      </c>
      <c r="C238" t="s">
        <v>39</v>
      </c>
      <c r="D238">
        <v>4</v>
      </c>
      <c r="E238">
        <v>6206.82</v>
      </c>
      <c r="F238" t="s">
        <v>50</v>
      </c>
      <c r="G238" s="1">
        <v>46198</v>
      </c>
    </row>
    <row r="239" spans="1:7" x14ac:dyDescent="0.35">
      <c r="A239" t="s">
        <v>273</v>
      </c>
      <c r="B239" t="s">
        <v>62</v>
      </c>
      <c r="C239" t="s">
        <v>25</v>
      </c>
      <c r="D239">
        <v>1</v>
      </c>
      <c r="E239">
        <v>2163.16</v>
      </c>
      <c r="F239" t="s">
        <v>22</v>
      </c>
      <c r="G239" s="1">
        <v>46096</v>
      </c>
    </row>
    <row r="240" spans="1:7" x14ac:dyDescent="0.35">
      <c r="A240" t="s">
        <v>274</v>
      </c>
      <c r="B240" t="s">
        <v>62</v>
      </c>
      <c r="C240" t="s">
        <v>25</v>
      </c>
      <c r="D240">
        <v>2</v>
      </c>
      <c r="E240">
        <v>2041.8</v>
      </c>
      <c r="F240" t="s">
        <v>32</v>
      </c>
      <c r="G240" s="1">
        <v>46079</v>
      </c>
    </row>
    <row r="241" spans="1:7" x14ac:dyDescent="0.35">
      <c r="A241" t="s">
        <v>275</v>
      </c>
      <c r="B241" t="s">
        <v>8</v>
      </c>
      <c r="C241" t="s">
        <v>9</v>
      </c>
      <c r="D241">
        <v>2</v>
      </c>
      <c r="E241">
        <v>1843.52</v>
      </c>
      <c r="F241" t="s">
        <v>26</v>
      </c>
      <c r="G241" s="1">
        <v>46183</v>
      </c>
    </row>
    <row r="242" spans="1:7" x14ac:dyDescent="0.35">
      <c r="A242" t="s">
        <v>276</v>
      </c>
      <c r="B242" t="s">
        <v>31</v>
      </c>
      <c r="C242" t="s">
        <v>13</v>
      </c>
      <c r="D242">
        <v>1</v>
      </c>
      <c r="E242">
        <v>17312.16</v>
      </c>
      <c r="F242" t="s">
        <v>22</v>
      </c>
      <c r="G242" s="1">
        <v>46031</v>
      </c>
    </row>
    <row r="243" spans="1:7" x14ac:dyDescent="0.35">
      <c r="A243" t="s">
        <v>277</v>
      </c>
      <c r="B243" t="s">
        <v>16</v>
      </c>
      <c r="C243" t="s">
        <v>17</v>
      </c>
      <c r="D243">
        <v>3</v>
      </c>
      <c r="E243">
        <v>470.91</v>
      </c>
      <c r="F243" t="s">
        <v>18</v>
      </c>
      <c r="G243" s="1">
        <v>46098</v>
      </c>
    </row>
    <row r="244" spans="1:7" x14ac:dyDescent="0.35">
      <c r="A244" t="s">
        <v>278</v>
      </c>
      <c r="B244" t="s">
        <v>55</v>
      </c>
      <c r="C244" t="s">
        <v>25</v>
      </c>
      <c r="D244">
        <v>4</v>
      </c>
      <c r="E244">
        <v>2336.88</v>
      </c>
      <c r="F244" t="s">
        <v>26</v>
      </c>
      <c r="G244" s="1">
        <v>46161</v>
      </c>
    </row>
    <row r="245" spans="1:7" x14ac:dyDescent="0.35">
      <c r="A245" t="s">
        <v>279</v>
      </c>
      <c r="B245" t="s">
        <v>55</v>
      </c>
      <c r="C245" t="s">
        <v>25</v>
      </c>
      <c r="D245">
        <v>5</v>
      </c>
      <c r="E245">
        <v>2499.9</v>
      </c>
      <c r="F245" t="s">
        <v>10</v>
      </c>
      <c r="G245" s="1">
        <v>46065</v>
      </c>
    </row>
    <row r="246" spans="1:7" x14ac:dyDescent="0.35">
      <c r="A246" t="s">
        <v>280</v>
      </c>
      <c r="B246" t="s">
        <v>24</v>
      </c>
      <c r="C246" t="s">
        <v>25</v>
      </c>
      <c r="D246">
        <v>4</v>
      </c>
      <c r="E246">
        <v>873.69</v>
      </c>
      <c r="F246" t="s">
        <v>10</v>
      </c>
      <c r="G246" s="1">
        <v>46109</v>
      </c>
    </row>
    <row r="247" spans="1:7" x14ac:dyDescent="0.35">
      <c r="A247" t="s">
        <v>281</v>
      </c>
      <c r="B247" t="s">
        <v>62</v>
      </c>
      <c r="C247" t="s">
        <v>25</v>
      </c>
      <c r="D247">
        <v>1</v>
      </c>
      <c r="E247">
        <v>1986.34</v>
      </c>
      <c r="F247" t="s">
        <v>18</v>
      </c>
      <c r="G247" s="1">
        <v>46059</v>
      </c>
    </row>
    <row r="248" spans="1:7" x14ac:dyDescent="0.35">
      <c r="A248" t="s">
        <v>282</v>
      </c>
      <c r="B248" t="s">
        <v>62</v>
      </c>
      <c r="C248" t="s">
        <v>25</v>
      </c>
      <c r="D248">
        <v>2</v>
      </c>
      <c r="E248">
        <v>2142.98</v>
      </c>
      <c r="F248" t="s">
        <v>48</v>
      </c>
      <c r="G248" s="1">
        <v>46165</v>
      </c>
    </row>
    <row r="249" spans="1:7" x14ac:dyDescent="0.35">
      <c r="A249" t="s">
        <v>283</v>
      </c>
      <c r="B249" t="s">
        <v>55</v>
      </c>
      <c r="C249" t="s">
        <v>25</v>
      </c>
      <c r="D249">
        <v>1</v>
      </c>
      <c r="E249">
        <v>2644.28</v>
      </c>
      <c r="F249" t="s">
        <v>46</v>
      </c>
      <c r="G249" s="1">
        <v>46090</v>
      </c>
    </row>
    <row r="250" spans="1:7" x14ac:dyDescent="0.35">
      <c r="A250" t="s">
        <v>284</v>
      </c>
      <c r="B250" t="s">
        <v>80</v>
      </c>
      <c r="C250" t="s">
        <v>39</v>
      </c>
      <c r="D250">
        <v>1</v>
      </c>
      <c r="E250">
        <v>4162.0200000000004</v>
      </c>
      <c r="F250" t="s">
        <v>10</v>
      </c>
      <c r="G250" s="1">
        <v>46172</v>
      </c>
    </row>
    <row r="251" spans="1:7" x14ac:dyDescent="0.35">
      <c r="A251" t="s">
        <v>285</v>
      </c>
      <c r="B251" t="s">
        <v>28</v>
      </c>
      <c r="C251" t="s">
        <v>9</v>
      </c>
      <c r="D251">
        <v>3</v>
      </c>
      <c r="E251">
        <v>4607.42</v>
      </c>
      <c r="F251" t="s">
        <v>29</v>
      </c>
      <c r="G251" s="1">
        <v>46143</v>
      </c>
    </row>
    <row r="252" spans="1:7" x14ac:dyDescent="0.35">
      <c r="A252" t="s">
        <v>286</v>
      </c>
      <c r="B252" t="s">
        <v>91</v>
      </c>
      <c r="C252" t="s">
        <v>13</v>
      </c>
      <c r="D252">
        <v>5</v>
      </c>
      <c r="E252">
        <v>59226.58</v>
      </c>
      <c r="F252" t="s">
        <v>14</v>
      </c>
      <c r="G252" s="1">
        <v>46106</v>
      </c>
    </row>
    <row r="253" spans="1:7" x14ac:dyDescent="0.35">
      <c r="A253" t="s">
        <v>287</v>
      </c>
      <c r="B253" t="s">
        <v>16</v>
      </c>
      <c r="C253" t="s">
        <v>17</v>
      </c>
      <c r="D253">
        <v>2</v>
      </c>
      <c r="E253">
        <v>463.29</v>
      </c>
      <c r="F253" t="s">
        <v>22</v>
      </c>
      <c r="G253" s="1">
        <v>46202</v>
      </c>
    </row>
    <row r="254" spans="1:7" x14ac:dyDescent="0.35">
      <c r="A254" t="s">
        <v>288</v>
      </c>
      <c r="B254" t="s">
        <v>24</v>
      </c>
      <c r="C254" t="s">
        <v>25</v>
      </c>
      <c r="D254">
        <v>4</v>
      </c>
      <c r="E254">
        <v>737.74</v>
      </c>
      <c r="F254" t="s">
        <v>46</v>
      </c>
      <c r="G254" s="1">
        <v>46032</v>
      </c>
    </row>
    <row r="255" spans="1:7" x14ac:dyDescent="0.35">
      <c r="A255" t="s">
        <v>289</v>
      </c>
      <c r="B255" t="s">
        <v>24</v>
      </c>
      <c r="C255" t="s">
        <v>25</v>
      </c>
      <c r="D255">
        <v>4</v>
      </c>
      <c r="E255">
        <v>737.66</v>
      </c>
      <c r="F255" t="s">
        <v>29</v>
      </c>
      <c r="G255" s="1">
        <v>46160</v>
      </c>
    </row>
    <row r="256" spans="1:7" x14ac:dyDescent="0.35">
      <c r="A256" t="s">
        <v>290</v>
      </c>
      <c r="B256" t="s">
        <v>72</v>
      </c>
      <c r="C256" t="s">
        <v>13</v>
      </c>
      <c r="D256">
        <v>4</v>
      </c>
      <c r="E256">
        <v>2179.6</v>
      </c>
      <c r="F256" t="s">
        <v>14</v>
      </c>
      <c r="G256" s="1">
        <v>46130</v>
      </c>
    </row>
    <row r="257" spans="1:7" x14ac:dyDescent="0.35">
      <c r="A257" t="s">
        <v>291</v>
      </c>
      <c r="B257" t="s">
        <v>16</v>
      </c>
      <c r="C257" t="s">
        <v>17</v>
      </c>
      <c r="D257">
        <v>2</v>
      </c>
      <c r="E257">
        <v>484.69</v>
      </c>
      <c r="F257" t="s">
        <v>18</v>
      </c>
      <c r="G257" s="1">
        <v>46148</v>
      </c>
    </row>
    <row r="258" spans="1:7" x14ac:dyDescent="0.35">
      <c r="A258" t="s">
        <v>292</v>
      </c>
      <c r="B258" t="s">
        <v>16</v>
      </c>
      <c r="C258" t="s">
        <v>17</v>
      </c>
      <c r="D258">
        <v>4</v>
      </c>
      <c r="E258">
        <v>489.51</v>
      </c>
      <c r="F258" t="s">
        <v>10</v>
      </c>
      <c r="G258" s="1">
        <v>46031</v>
      </c>
    </row>
    <row r="259" spans="1:7" x14ac:dyDescent="0.35">
      <c r="A259" t="s">
        <v>293</v>
      </c>
      <c r="B259" t="s">
        <v>21</v>
      </c>
      <c r="C259" t="s">
        <v>13</v>
      </c>
      <c r="D259">
        <v>3</v>
      </c>
      <c r="E259">
        <v>26416.71</v>
      </c>
      <c r="F259" t="s">
        <v>22</v>
      </c>
      <c r="G259" s="1">
        <v>46083</v>
      </c>
    </row>
    <row r="260" spans="1:7" x14ac:dyDescent="0.35">
      <c r="A260" t="s">
        <v>294</v>
      </c>
      <c r="B260" t="s">
        <v>38</v>
      </c>
      <c r="C260" t="s">
        <v>39</v>
      </c>
      <c r="D260">
        <v>3</v>
      </c>
      <c r="E260">
        <v>5979.16</v>
      </c>
      <c r="F260" t="s">
        <v>32</v>
      </c>
      <c r="G260" s="1">
        <v>46162</v>
      </c>
    </row>
    <row r="261" spans="1:7" x14ac:dyDescent="0.35">
      <c r="A261" t="s">
        <v>295</v>
      </c>
      <c r="B261" t="s">
        <v>8</v>
      </c>
      <c r="C261" t="s">
        <v>9</v>
      </c>
      <c r="D261">
        <v>3</v>
      </c>
      <c r="E261">
        <v>1641.8</v>
      </c>
      <c r="F261" t="s">
        <v>10</v>
      </c>
      <c r="G261" s="1">
        <v>46071</v>
      </c>
    </row>
    <row r="262" spans="1:7" x14ac:dyDescent="0.35">
      <c r="A262" t="s">
        <v>296</v>
      </c>
      <c r="B262" t="s">
        <v>31</v>
      </c>
      <c r="C262" t="s">
        <v>13</v>
      </c>
      <c r="D262">
        <v>4</v>
      </c>
      <c r="E262">
        <v>16530.02</v>
      </c>
      <c r="F262" t="s">
        <v>29</v>
      </c>
      <c r="G262" s="1">
        <v>46187</v>
      </c>
    </row>
    <row r="263" spans="1:7" x14ac:dyDescent="0.35">
      <c r="A263" t="s">
        <v>297</v>
      </c>
      <c r="B263" t="s">
        <v>8</v>
      </c>
      <c r="C263" t="s">
        <v>9</v>
      </c>
      <c r="D263">
        <v>5</v>
      </c>
      <c r="E263">
        <v>1969.59</v>
      </c>
      <c r="F263" t="s">
        <v>46</v>
      </c>
      <c r="G263" s="1">
        <v>46108</v>
      </c>
    </row>
    <row r="264" spans="1:7" x14ac:dyDescent="0.35">
      <c r="A264" t="s">
        <v>298</v>
      </c>
      <c r="B264" t="s">
        <v>12</v>
      </c>
      <c r="C264" t="s">
        <v>13</v>
      </c>
      <c r="D264">
        <v>2</v>
      </c>
      <c r="E264">
        <v>1586.09</v>
      </c>
      <c r="F264" t="s">
        <v>29</v>
      </c>
      <c r="G264" s="1">
        <v>46040</v>
      </c>
    </row>
    <row r="265" spans="1:7" x14ac:dyDescent="0.35">
      <c r="A265" t="s">
        <v>299</v>
      </c>
      <c r="B265" t="s">
        <v>38</v>
      </c>
      <c r="C265" t="s">
        <v>39</v>
      </c>
      <c r="D265">
        <v>5</v>
      </c>
      <c r="E265">
        <v>6119.3</v>
      </c>
      <c r="F265" t="s">
        <v>29</v>
      </c>
      <c r="G265" s="1">
        <v>46082</v>
      </c>
    </row>
    <row r="266" spans="1:7" x14ac:dyDescent="0.35">
      <c r="A266" t="s">
        <v>300</v>
      </c>
      <c r="B266" t="s">
        <v>55</v>
      </c>
      <c r="C266" t="s">
        <v>25</v>
      </c>
      <c r="D266">
        <v>2</v>
      </c>
      <c r="E266">
        <v>2643.26</v>
      </c>
      <c r="F266" t="s">
        <v>50</v>
      </c>
      <c r="G266" s="1">
        <v>46023</v>
      </c>
    </row>
    <row r="267" spans="1:7" x14ac:dyDescent="0.35">
      <c r="A267" t="s">
        <v>301</v>
      </c>
      <c r="B267" t="s">
        <v>24</v>
      </c>
      <c r="C267" t="s">
        <v>25</v>
      </c>
      <c r="D267">
        <v>2</v>
      </c>
      <c r="E267">
        <v>876.91</v>
      </c>
      <c r="F267" t="s">
        <v>14</v>
      </c>
      <c r="G267" s="1">
        <v>46087</v>
      </c>
    </row>
    <row r="268" spans="1:7" x14ac:dyDescent="0.35">
      <c r="A268" t="s">
        <v>302</v>
      </c>
      <c r="B268" t="s">
        <v>62</v>
      </c>
      <c r="C268" t="s">
        <v>25</v>
      </c>
      <c r="D268">
        <v>2</v>
      </c>
      <c r="E268">
        <v>1843.05</v>
      </c>
      <c r="F268" t="s">
        <v>46</v>
      </c>
      <c r="G268" s="1">
        <v>46056</v>
      </c>
    </row>
    <row r="269" spans="1:7" x14ac:dyDescent="0.35">
      <c r="A269" t="s">
        <v>303</v>
      </c>
      <c r="B269" t="s">
        <v>91</v>
      </c>
      <c r="C269" t="s">
        <v>13</v>
      </c>
      <c r="D269">
        <v>3</v>
      </c>
      <c r="E269">
        <v>58189.83</v>
      </c>
      <c r="F269" t="s">
        <v>29</v>
      </c>
      <c r="G269" s="1">
        <v>46173</v>
      </c>
    </row>
    <row r="270" spans="1:7" x14ac:dyDescent="0.35">
      <c r="A270" t="s">
        <v>304</v>
      </c>
      <c r="B270" t="s">
        <v>55</v>
      </c>
      <c r="C270" t="s">
        <v>25</v>
      </c>
      <c r="D270">
        <v>1</v>
      </c>
      <c r="E270">
        <v>2336.19</v>
      </c>
      <c r="F270" t="s">
        <v>46</v>
      </c>
      <c r="G270" s="1">
        <v>46055</v>
      </c>
    </row>
    <row r="271" spans="1:7" x14ac:dyDescent="0.35">
      <c r="A271" t="s">
        <v>305</v>
      </c>
      <c r="B271" t="s">
        <v>21</v>
      </c>
      <c r="C271" t="s">
        <v>13</v>
      </c>
      <c r="D271">
        <v>4</v>
      </c>
      <c r="E271">
        <v>28146.080000000002</v>
      </c>
      <c r="F271" t="s">
        <v>18</v>
      </c>
      <c r="G271" s="1">
        <v>46144</v>
      </c>
    </row>
    <row r="272" spans="1:7" x14ac:dyDescent="0.35">
      <c r="A272" t="s">
        <v>306</v>
      </c>
      <c r="B272" t="s">
        <v>44</v>
      </c>
      <c r="C272" t="s">
        <v>39</v>
      </c>
      <c r="D272">
        <v>3</v>
      </c>
      <c r="E272">
        <v>3509.27</v>
      </c>
      <c r="F272" t="s">
        <v>18</v>
      </c>
      <c r="G272" s="1">
        <v>46138</v>
      </c>
    </row>
    <row r="273" spans="1:7" x14ac:dyDescent="0.35">
      <c r="A273" t="s">
        <v>307</v>
      </c>
      <c r="B273" t="s">
        <v>80</v>
      </c>
      <c r="C273" t="s">
        <v>39</v>
      </c>
      <c r="D273">
        <v>2</v>
      </c>
      <c r="E273">
        <v>4574.1499999999996</v>
      </c>
      <c r="F273" t="s">
        <v>46</v>
      </c>
      <c r="G273" s="1">
        <v>46191</v>
      </c>
    </row>
    <row r="274" spans="1:7" x14ac:dyDescent="0.35">
      <c r="A274" t="s">
        <v>308</v>
      </c>
      <c r="B274" t="s">
        <v>80</v>
      </c>
      <c r="C274" t="s">
        <v>39</v>
      </c>
      <c r="D274">
        <v>3</v>
      </c>
      <c r="E274">
        <v>4164.76</v>
      </c>
      <c r="F274" t="s">
        <v>46</v>
      </c>
      <c r="G274" s="1">
        <v>46038</v>
      </c>
    </row>
    <row r="275" spans="1:7" x14ac:dyDescent="0.35">
      <c r="A275" t="s">
        <v>309</v>
      </c>
      <c r="B275" t="s">
        <v>44</v>
      </c>
      <c r="C275" t="s">
        <v>39</v>
      </c>
      <c r="D275">
        <v>4</v>
      </c>
      <c r="E275">
        <v>3448.39</v>
      </c>
      <c r="F275" t="s">
        <v>18</v>
      </c>
      <c r="G275" s="1">
        <v>46148</v>
      </c>
    </row>
    <row r="276" spans="1:7" x14ac:dyDescent="0.35">
      <c r="A276" t="s">
        <v>310</v>
      </c>
      <c r="B276" t="s">
        <v>21</v>
      </c>
      <c r="C276" t="s">
        <v>13</v>
      </c>
      <c r="D276">
        <v>4</v>
      </c>
      <c r="E276">
        <v>25611.55</v>
      </c>
      <c r="F276" t="s">
        <v>18</v>
      </c>
      <c r="G276" s="1">
        <v>46105</v>
      </c>
    </row>
    <row r="277" spans="1:7" x14ac:dyDescent="0.35">
      <c r="A277" t="s">
        <v>311</v>
      </c>
      <c r="B277" t="s">
        <v>16</v>
      </c>
      <c r="C277" t="s">
        <v>17</v>
      </c>
      <c r="D277">
        <v>2</v>
      </c>
      <c r="E277">
        <v>410.91</v>
      </c>
      <c r="F277" t="s">
        <v>10</v>
      </c>
      <c r="G277" s="1">
        <v>46182</v>
      </c>
    </row>
    <row r="278" spans="1:7" x14ac:dyDescent="0.35">
      <c r="A278" t="s">
        <v>312</v>
      </c>
      <c r="B278" t="s">
        <v>8</v>
      </c>
      <c r="C278" t="s">
        <v>9</v>
      </c>
      <c r="D278">
        <v>5</v>
      </c>
      <c r="E278">
        <v>1817.41</v>
      </c>
      <c r="F278" t="s">
        <v>32</v>
      </c>
      <c r="G278" s="1">
        <v>46120</v>
      </c>
    </row>
    <row r="279" spans="1:7" x14ac:dyDescent="0.35">
      <c r="A279" t="s">
        <v>313</v>
      </c>
      <c r="B279" t="s">
        <v>16</v>
      </c>
      <c r="C279" t="s">
        <v>17</v>
      </c>
      <c r="D279">
        <v>5</v>
      </c>
      <c r="E279">
        <v>431.54</v>
      </c>
      <c r="F279" t="s">
        <v>14</v>
      </c>
      <c r="G279" s="1">
        <v>46177</v>
      </c>
    </row>
    <row r="280" spans="1:7" x14ac:dyDescent="0.35">
      <c r="A280" t="s">
        <v>314</v>
      </c>
      <c r="B280" t="s">
        <v>28</v>
      </c>
      <c r="C280" t="s">
        <v>9</v>
      </c>
      <c r="D280">
        <v>1</v>
      </c>
      <c r="E280">
        <v>5292.04</v>
      </c>
      <c r="F280" t="s">
        <v>18</v>
      </c>
      <c r="G280" s="1">
        <v>46190</v>
      </c>
    </row>
    <row r="281" spans="1:7" x14ac:dyDescent="0.35">
      <c r="A281" t="s">
        <v>315</v>
      </c>
      <c r="B281" t="s">
        <v>8</v>
      </c>
      <c r="C281" t="s">
        <v>9</v>
      </c>
      <c r="D281">
        <v>5</v>
      </c>
      <c r="E281">
        <v>1879.5</v>
      </c>
      <c r="F281" t="s">
        <v>29</v>
      </c>
      <c r="G281" s="1">
        <v>46133</v>
      </c>
    </row>
    <row r="282" spans="1:7" x14ac:dyDescent="0.35">
      <c r="A282" t="s">
        <v>316</v>
      </c>
      <c r="B282" t="s">
        <v>44</v>
      </c>
      <c r="C282" t="s">
        <v>39</v>
      </c>
      <c r="D282">
        <v>2</v>
      </c>
      <c r="E282">
        <v>3439.67</v>
      </c>
      <c r="F282" t="s">
        <v>22</v>
      </c>
      <c r="G282" s="1">
        <v>46125</v>
      </c>
    </row>
    <row r="283" spans="1:7" x14ac:dyDescent="0.35">
      <c r="A283" t="s">
        <v>317</v>
      </c>
      <c r="B283" t="s">
        <v>28</v>
      </c>
      <c r="C283" t="s">
        <v>9</v>
      </c>
      <c r="D283">
        <v>1</v>
      </c>
      <c r="E283">
        <v>4811.59</v>
      </c>
      <c r="F283" t="s">
        <v>32</v>
      </c>
      <c r="G283" s="1">
        <v>46193</v>
      </c>
    </row>
    <row r="284" spans="1:7" x14ac:dyDescent="0.35">
      <c r="A284" t="s">
        <v>318</v>
      </c>
      <c r="B284" t="s">
        <v>24</v>
      </c>
      <c r="C284" t="s">
        <v>25</v>
      </c>
      <c r="D284">
        <v>3</v>
      </c>
      <c r="E284">
        <v>871.48</v>
      </c>
      <c r="F284" t="s">
        <v>22</v>
      </c>
      <c r="G284" s="1">
        <v>46040</v>
      </c>
    </row>
    <row r="285" spans="1:7" x14ac:dyDescent="0.35">
      <c r="A285" t="s">
        <v>319</v>
      </c>
      <c r="B285" t="s">
        <v>31</v>
      </c>
      <c r="C285" t="s">
        <v>13</v>
      </c>
      <c r="D285">
        <v>1</v>
      </c>
      <c r="E285">
        <v>16535.63</v>
      </c>
      <c r="F285" t="s">
        <v>18</v>
      </c>
      <c r="G285" s="1">
        <v>46118</v>
      </c>
    </row>
    <row r="286" spans="1:7" x14ac:dyDescent="0.35">
      <c r="A286" t="s">
        <v>320</v>
      </c>
      <c r="B286" t="s">
        <v>62</v>
      </c>
      <c r="C286" t="s">
        <v>25</v>
      </c>
      <c r="D286">
        <v>2</v>
      </c>
      <c r="E286">
        <v>2021.54</v>
      </c>
      <c r="F286" t="s">
        <v>50</v>
      </c>
      <c r="G286" s="1">
        <v>46166</v>
      </c>
    </row>
    <row r="287" spans="1:7" x14ac:dyDescent="0.35">
      <c r="A287" t="s">
        <v>321</v>
      </c>
      <c r="B287" t="s">
        <v>80</v>
      </c>
      <c r="C287" t="s">
        <v>39</v>
      </c>
      <c r="D287">
        <v>3</v>
      </c>
      <c r="E287">
        <v>4342.8100000000004</v>
      </c>
      <c r="F287" t="s">
        <v>48</v>
      </c>
      <c r="G287" s="1">
        <v>46113</v>
      </c>
    </row>
    <row r="288" spans="1:7" x14ac:dyDescent="0.35">
      <c r="A288" t="s">
        <v>322</v>
      </c>
      <c r="B288" t="s">
        <v>38</v>
      </c>
      <c r="C288" t="s">
        <v>39</v>
      </c>
      <c r="D288">
        <v>4</v>
      </c>
      <c r="E288">
        <v>6978.52</v>
      </c>
      <c r="F288" t="s">
        <v>46</v>
      </c>
      <c r="G288" s="1">
        <v>46096</v>
      </c>
    </row>
    <row r="289" spans="1:7" x14ac:dyDescent="0.35">
      <c r="A289" t="s">
        <v>323</v>
      </c>
      <c r="B289" t="s">
        <v>16</v>
      </c>
      <c r="C289" t="s">
        <v>17</v>
      </c>
      <c r="D289">
        <v>3</v>
      </c>
      <c r="E289">
        <v>436.65</v>
      </c>
      <c r="F289" t="s">
        <v>50</v>
      </c>
      <c r="G289" s="1">
        <v>46152</v>
      </c>
    </row>
    <row r="290" spans="1:7" x14ac:dyDescent="0.35">
      <c r="A290" t="s">
        <v>324</v>
      </c>
      <c r="B290" t="s">
        <v>12</v>
      </c>
      <c r="C290" t="s">
        <v>13</v>
      </c>
      <c r="D290">
        <v>2</v>
      </c>
      <c r="E290">
        <v>1547.02</v>
      </c>
      <c r="F290" t="s">
        <v>29</v>
      </c>
      <c r="G290" s="1">
        <v>46050</v>
      </c>
    </row>
    <row r="291" spans="1:7" x14ac:dyDescent="0.35">
      <c r="A291" t="s">
        <v>325</v>
      </c>
      <c r="B291" t="s">
        <v>55</v>
      </c>
      <c r="C291" t="s">
        <v>25</v>
      </c>
      <c r="D291">
        <v>5</v>
      </c>
      <c r="E291">
        <v>2432.81</v>
      </c>
      <c r="F291" t="s">
        <v>10</v>
      </c>
      <c r="G291" s="1">
        <v>46169</v>
      </c>
    </row>
    <row r="292" spans="1:7" x14ac:dyDescent="0.35">
      <c r="A292" t="s">
        <v>326</v>
      </c>
      <c r="B292" t="s">
        <v>12</v>
      </c>
      <c r="C292" t="s">
        <v>13</v>
      </c>
      <c r="D292">
        <v>4</v>
      </c>
      <c r="E292">
        <v>1603.55</v>
      </c>
      <c r="F292" t="s">
        <v>50</v>
      </c>
      <c r="G292" s="1">
        <v>46180</v>
      </c>
    </row>
    <row r="293" spans="1:7" x14ac:dyDescent="0.35">
      <c r="A293" t="s">
        <v>327</v>
      </c>
      <c r="B293" t="s">
        <v>8</v>
      </c>
      <c r="C293" t="s">
        <v>9</v>
      </c>
      <c r="D293">
        <v>5</v>
      </c>
      <c r="E293">
        <v>1629.45</v>
      </c>
      <c r="F293" t="s">
        <v>10</v>
      </c>
      <c r="G293" s="1">
        <v>46030</v>
      </c>
    </row>
    <row r="294" spans="1:7" x14ac:dyDescent="0.35">
      <c r="A294" t="s">
        <v>328</v>
      </c>
      <c r="B294" t="s">
        <v>72</v>
      </c>
      <c r="C294" t="s">
        <v>13</v>
      </c>
      <c r="D294">
        <v>3</v>
      </c>
      <c r="E294">
        <v>2289.19</v>
      </c>
      <c r="F294" t="s">
        <v>10</v>
      </c>
      <c r="G294" s="1">
        <v>46109</v>
      </c>
    </row>
    <row r="295" spans="1:7" x14ac:dyDescent="0.35">
      <c r="A295" t="s">
        <v>329</v>
      </c>
      <c r="B295" t="s">
        <v>55</v>
      </c>
      <c r="C295" t="s">
        <v>25</v>
      </c>
      <c r="D295">
        <v>1</v>
      </c>
      <c r="E295">
        <v>2339.77</v>
      </c>
      <c r="F295" t="s">
        <v>26</v>
      </c>
      <c r="G295" s="1">
        <v>46167</v>
      </c>
    </row>
    <row r="296" spans="1:7" x14ac:dyDescent="0.35">
      <c r="A296" t="s">
        <v>330</v>
      </c>
      <c r="B296" t="s">
        <v>8</v>
      </c>
      <c r="C296" t="s">
        <v>9</v>
      </c>
      <c r="D296">
        <v>4</v>
      </c>
      <c r="E296">
        <v>1645.05</v>
      </c>
      <c r="F296" t="s">
        <v>46</v>
      </c>
      <c r="G296" s="1">
        <v>46046</v>
      </c>
    </row>
    <row r="297" spans="1:7" x14ac:dyDescent="0.35">
      <c r="A297" t="s">
        <v>331</v>
      </c>
      <c r="B297" t="s">
        <v>21</v>
      </c>
      <c r="C297" t="s">
        <v>13</v>
      </c>
      <c r="D297">
        <v>5</v>
      </c>
      <c r="E297">
        <v>26404.74</v>
      </c>
      <c r="F297" t="s">
        <v>48</v>
      </c>
      <c r="G297" s="1">
        <v>46139</v>
      </c>
    </row>
    <row r="298" spans="1:7" x14ac:dyDescent="0.35">
      <c r="A298" t="s">
        <v>332</v>
      </c>
      <c r="B298" t="s">
        <v>55</v>
      </c>
      <c r="C298" t="s">
        <v>25</v>
      </c>
      <c r="D298">
        <v>2</v>
      </c>
      <c r="E298">
        <v>2434.0500000000002</v>
      </c>
      <c r="F298" t="s">
        <v>32</v>
      </c>
      <c r="G298" s="1">
        <v>46168</v>
      </c>
    </row>
    <row r="299" spans="1:7" x14ac:dyDescent="0.35">
      <c r="A299" t="s">
        <v>333</v>
      </c>
      <c r="B299" t="s">
        <v>16</v>
      </c>
      <c r="C299" t="s">
        <v>17</v>
      </c>
      <c r="D299">
        <v>1</v>
      </c>
      <c r="E299">
        <v>484.5</v>
      </c>
      <c r="F299" t="s">
        <v>26</v>
      </c>
      <c r="G299" s="1">
        <v>46063</v>
      </c>
    </row>
    <row r="300" spans="1:7" x14ac:dyDescent="0.35">
      <c r="A300" t="s">
        <v>334</v>
      </c>
      <c r="B300" t="s">
        <v>62</v>
      </c>
      <c r="C300" t="s">
        <v>25</v>
      </c>
      <c r="D300">
        <v>5</v>
      </c>
      <c r="E300">
        <v>1819</v>
      </c>
      <c r="F300" t="s">
        <v>18</v>
      </c>
      <c r="G300" s="1">
        <v>46092</v>
      </c>
    </row>
    <row r="301" spans="1:7" x14ac:dyDescent="0.35">
      <c r="A301" t="s">
        <v>335</v>
      </c>
      <c r="B301" t="s">
        <v>44</v>
      </c>
      <c r="C301" t="s">
        <v>39</v>
      </c>
      <c r="D301">
        <v>4</v>
      </c>
      <c r="E301">
        <v>3489.96</v>
      </c>
      <c r="F301" t="s">
        <v>22</v>
      </c>
      <c r="G301" s="1">
        <v>46129</v>
      </c>
    </row>
    <row r="302" spans="1:7" x14ac:dyDescent="0.35">
      <c r="A302" t="s">
        <v>336</v>
      </c>
      <c r="B302" t="s">
        <v>24</v>
      </c>
      <c r="C302" t="s">
        <v>25</v>
      </c>
      <c r="D302">
        <v>2</v>
      </c>
      <c r="E302">
        <v>839.74</v>
      </c>
      <c r="F302" t="s">
        <v>18</v>
      </c>
      <c r="G302" s="1">
        <v>46111</v>
      </c>
    </row>
    <row r="303" spans="1:7" x14ac:dyDescent="0.35">
      <c r="A303" t="s">
        <v>337</v>
      </c>
      <c r="B303" t="s">
        <v>28</v>
      </c>
      <c r="C303" t="s">
        <v>9</v>
      </c>
      <c r="D303">
        <v>1</v>
      </c>
      <c r="E303">
        <v>4782.29</v>
      </c>
      <c r="F303" t="s">
        <v>50</v>
      </c>
      <c r="G303" s="1">
        <v>46147</v>
      </c>
    </row>
    <row r="304" spans="1:7" x14ac:dyDescent="0.35">
      <c r="A304" t="s">
        <v>338</v>
      </c>
      <c r="B304" t="s">
        <v>80</v>
      </c>
      <c r="C304" t="s">
        <v>39</v>
      </c>
      <c r="D304">
        <v>3</v>
      </c>
      <c r="E304">
        <v>3818.15</v>
      </c>
      <c r="F304" t="s">
        <v>48</v>
      </c>
      <c r="G304" s="1">
        <v>46176</v>
      </c>
    </row>
    <row r="305" spans="1:7" x14ac:dyDescent="0.35">
      <c r="A305" t="s">
        <v>339</v>
      </c>
      <c r="B305" t="s">
        <v>91</v>
      </c>
      <c r="C305" t="s">
        <v>13</v>
      </c>
      <c r="D305">
        <v>1</v>
      </c>
      <c r="E305">
        <v>51748.65</v>
      </c>
      <c r="F305" t="s">
        <v>29</v>
      </c>
      <c r="G305" s="1">
        <v>46058</v>
      </c>
    </row>
    <row r="306" spans="1:7" x14ac:dyDescent="0.35">
      <c r="A306" t="s">
        <v>340</v>
      </c>
      <c r="B306" t="s">
        <v>62</v>
      </c>
      <c r="C306" t="s">
        <v>25</v>
      </c>
      <c r="D306">
        <v>3</v>
      </c>
      <c r="E306">
        <v>1914.82</v>
      </c>
      <c r="F306" t="s">
        <v>18</v>
      </c>
      <c r="G306" s="1">
        <v>46024</v>
      </c>
    </row>
    <row r="307" spans="1:7" x14ac:dyDescent="0.35">
      <c r="A307" t="s">
        <v>341</v>
      </c>
      <c r="B307" t="s">
        <v>44</v>
      </c>
      <c r="C307" t="s">
        <v>39</v>
      </c>
      <c r="D307">
        <v>4</v>
      </c>
      <c r="E307">
        <v>3272.99</v>
      </c>
      <c r="F307" t="s">
        <v>48</v>
      </c>
      <c r="G307" s="1">
        <v>46159</v>
      </c>
    </row>
    <row r="308" spans="1:7" x14ac:dyDescent="0.35">
      <c r="A308" t="s">
        <v>342</v>
      </c>
      <c r="B308" t="s">
        <v>21</v>
      </c>
      <c r="C308" t="s">
        <v>13</v>
      </c>
      <c r="D308">
        <v>2</v>
      </c>
      <c r="E308">
        <v>28001.47</v>
      </c>
      <c r="F308" t="s">
        <v>32</v>
      </c>
      <c r="G308" s="1">
        <v>46041</v>
      </c>
    </row>
    <row r="309" spans="1:7" x14ac:dyDescent="0.35">
      <c r="A309" t="s">
        <v>343</v>
      </c>
      <c r="B309" t="s">
        <v>28</v>
      </c>
      <c r="C309" t="s">
        <v>9</v>
      </c>
      <c r="D309">
        <v>1</v>
      </c>
      <c r="E309">
        <v>4935.2299999999996</v>
      </c>
      <c r="F309" t="s">
        <v>22</v>
      </c>
      <c r="G309" s="1">
        <v>46042</v>
      </c>
    </row>
    <row r="310" spans="1:7" x14ac:dyDescent="0.35">
      <c r="A310" t="s">
        <v>344</v>
      </c>
      <c r="B310" t="s">
        <v>38</v>
      </c>
      <c r="C310" t="s">
        <v>39</v>
      </c>
      <c r="D310">
        <v>3</v>
      </c>
      <c r="E310">
        <v>6598.49</v>
      </c>
      <c r="F310" t="s">
        <v>50</v>
      </c>
      <c r="G310" s="1">
        <v>46126</v>
      </c>
    </row>
    <row r="311" spans="1:7" x14ac:dyDescent="0.35">
      <c r="A311" t="s">
        <v>345</v>
      </c>
      <c r="B311" t="s">
        <v>21</v>
      </c>
      <c r="C311" t="s">
        <v>13</v>
      </c>
      <c r="D311">
        <v>4</v>
      </c>
      <c r="E311">
        <v>26821.29</v>
      </c>
      <c r="F311" t="s">
        <v>48</v>
      </c>
      <c r="G311" s="1">
        <v>46028</v>
      </c>
    </row>
    <row r="312" spans="1:7" x14ac:dyDescent="0.35">
      <c r="A312" t="s">
        <v>346</v>
      </c>
      <c r="B312" t="s">
        <v>55</v>
      </c>
      <c r="C312" t="s">
        <v>25</v>
      </c>
      <c r="D312">
        <v>2</v>
      </c>
      <c r="E312">
        <v>2649.6</v>
      </c>
      <c r="F312" t="s">
        <v>50</v>
      </c>
      <c r="G312" s="1">
        <v>46140</v>
      </c>
    </row>
    <row r="313" spans="1:7" x14ac:dyDescent="0.35">
      <c r="A313" t="s">
        <v>347</v>
      </c>
      <c r="B313" t="s">
        <v>38</v>
      </c>
      <c r="C313" t="s">
        <v>39</v>
      </c>
      <c r="D313">
        <v>3</v>
      </c>
      <c r="E313">
        <v>5964.57</v>
      </c>
      <c r="F313" t="s">
        <v>18</v>
      </c>
      <c r="G313" s="1">
        <v>46085</v>
      </c>
    </row>
    <row r="314" spans="1:7" x14ac:dyDescent="0.35">
      <c r="A314" t="s">
        <v>348</v>
      </c>
      <c r="B314" t="s">
        <v>28</v>
      </c>
      <c r="C314" t="s">
        <v>9</v>
      </c>
      <c r="D314">
        <v>5</v>
      </c>
      <c r="E314">
        <v>4899.47</v>
      </c>
      <c r="F314" t="s">
        <v>18</v>
      </c>
      <c r="G314" s="1">
        <v>46124</v>
      </c>
    </row>
    <row r="315" spans="1:7" x14ac:dyDescent="0.35">
      <c r="A315" t="s">
        <v>349</v>
      </c>
      <c r="B315" t="s">
        <v>38</v>
      </c>
      <c r="C315" t="s">
        <v>39</v>
      </c>
      <c r="D315">
        <v>3</v>
      </c>
      <c r="E315">
        <v>6819.55</v>
      </c>
      <c r="F315" t="s">
        <v>29</v>
      </c>
      <c r="G315" s="1">
        <v>46108</v>
      </c>
    </row>
    <row r="316" spans="1:7" x14ac:dyDescent="0.35">
      <c r="A316" t="s">
        <v>350</v>
      </c>
      <c r="B316" t="s">
        <v>62</v>
      </c>
      <c r="C316" t="s">
        <v>25</v>
      </c>
      <c r="D316">
        <v>2</v>
      </c>
      <c r="E316">
        <v>1829.64</v>
      </c>
      <c r="F316" t="s">
        <v>18</v>
      </c>
      <c r="G316" s="1">
        <v>46158</v>
      </c>
    </row>
    <row r="317" spans="1:7" x14ac:dyDescent="0.35">
      <c r="A317" t="s">
        <v>351</v>
      </c>
      <c r="B317" t="s">
        <v>80</v>
      </c>
      <c r="C317" t="s">
        <v>39</v>
      </c>
      <c r="D317">
        <v>2</v>
      </c>
      <c r="E317">
        <v>4540.9799999999996</v>
      </c>
      <c r="F317" t="s">
        <v>32</v>
      </c>
      <c r="G317" s="1">
        <v>46112</v>
      </c>
    </row>
    <row r="318" spans="1:7" x14ac:dyDescent="0.35">
      <c r="A318" t="s">
        <v>352</v>
      </c>
      <c r="B318" t="s">
        <v>21</v>
      </c>
      <c r="C318" t="s">
        <v>13</v>
      </c>
      <c r="D318">
        <v>2</v>
      </c>
      <c r="E318">
        <v>26523.11</v>
      </c>
      <c r="F318" t="s">
        <v>26</v>
      </c>
      <c r="G318" s="1">
        <v>46088</v>
      </c>
    </row>
    <row r="319" spans="1:7" x14ac:dyDescent="0.35">
      <c r="A319" t="s">
        <v>353</v>
      </c>
      <c r="B319" t="s">
        <v>12</v>
      </c>
      <c r="C319" t="s">
        <v>13</v>
      </c>
      <c r="D319">
        <v>2</v>
      </c>
      <c r="E319">
        <v>1530.72</v>
      </c>
      <c r="F319" t="s">
        <v>18</v>
      </c>
      <c r="G319" s="1">
        <v>46068</v>
      </c>
    </row>
    <row r="320" spans="1:7" x14ac:dyDescent="0.35">
      <c r="A320" t="s">
        <v>354</v>
      </c>
      <c r="B320" t="s">
        <v>62</v>
      </c>
      <c r="C320" t="s">
        <v>25</v>
      </c>
      <c r="D320">
        <v>4</v>
      </c>
      <c r="E320">
        <v>1984.59</v>
      </c>
      <c r="F320" t="s">
        <v>50</v>
      </c>
      <c r="G320" s="1">
        <v>46171</v>
      </c>
    </row>
    <row r="321" spans="1:7" x14ac:dyDescent="0.35">
      <c r="A321" t="s">
        <v>355</v>
      </c>
      <c r="B321" t="s">
        <v>44</v>
      </c>
      <c r="C321" t="s">
        <v>39</v>
      </c>
      <c r="D321">
        <v>5</v>
      </c>
      <c r="E321">
        <v>3600.09</v>
      </c>
      <c r="F321" t="s">
        <v>50</v>
      </c>
      <c r="G321" s="1">
        <v>46105</v>
      </c>
    </row>
    <row r="322" spans="1:7" x14ac:dyDescent="0.35">
      <c r="A322" t="s">
        <v>356</v>
      </c>
      <c r="B322" t="s">
        <v>38</v>
      </c>
      <c r="C322" t="s">
        <v>39</v>
      </c>
      <c r="D322">
        <v>3</v>
      </c>
      <c r="E322">
        <v>6046.24</v>
      </c>
      <c r="F322" t="s">
        <v>18</v>
      </c>
      <c r="G322" s="1">
        <v>46143</v>
      </c>
    </row>
    <row r="323" spans="1:7" x14ac:dyDescent="0.35">
      <c r="A323" t="s">
        <v>357</v>
      </c>
      <c r="B323" t="s">
        <v>44</v>
      </c>
      <c r="C323" t="s">
        <v>39</v>
      </c>
      <c r="D323">
        <v>3</v>
      </c>
      <c r="E323">
        <v>3707.43</v>
      </c>
      <c r="F323" t="s">
        <v>50</v>
      </c>
      <c r="G323" s="1">
        <v>46037</v>
      </c>
    </row>
    <row r="324" spans="1:7" x14ac:dyDescent="0.35">
      <c r="A324" t="s">
        <v>358</v>
      </c>
      <c r="B324" t="s">
        <v>55</v>
      </c>
      <c r="C324" t="s">
        <v>25</v>
      </c>
      <c r="D324">
        <v>5</v>
      </c>
      <c r="E324">
        <v>2286.1799999999998</v>
      </c>
      <c r="F324" t="s">
        <v>22</v>
      </c>
      <c r="G324" s="1">
        <v>46138</v>
      </c>
    </row>
    <row r="325" spans="1:7" x14ac:dyDescent="0.35">
      <c r="A325" t="s">
        <v>359</v>
      </c>
      <c r="B325" t="s">
        <v>91</v>
      </c>
      <c r="C325" t="s">
        <v>13</v>
      </c>
      <c r="D325">
        <v>1</v>
      </c>
      <c r="E325">
        <v>53556.11</v>
      </c>
      <c r="F325" t="s">
        <v>10</v>
      </c>
      <c r="G325" s="1">
        <v>46042</v>
      </c>
    </row>
    <row r="326" spans="1:7" x14ac:dyDescent="0.35">
      <c r="A326" t="s">
        <v>360</v>
      </c>
      <c r="B326" t="s">
        <v>8</v>
      </c>
      <c r="C326" t="s">
        <v>9</v>
      </c>
      <c r="D326">
        <v>1</v>
      </c>
      <c r="E326">
        <v>1841.4</v>
      </c>
      <c r="F326" t="s">
        <v>14</v>
      </c>
      <c r="G326" s="1">
        <v>46121</v>
      </c>
    </row>
    <row r="327" spans="1:7" x14ac:dyDescent="0.35">
      <c r="A327" t="s">
        <v>361</v>
      </c>
      <c r="B327" t="s">
        <v>44</v>
      </c>
      <c r="C327" t="s">
        <v>39</v>
      </c>
      <c r="D327">
        <v>5</v>
      </c>
      <c r="E327">
        <v>3538.02</v>
      </c>
      <c r="F327" t="s">
        <v>46</v>
      </c>
      <c r="G327" s="1">
        <v>46138</v>
      </c>
    </row>
    <row r="328" spans="1:7" x14ac:dyDescent="0.35">
      <c r="A328" t="s">
        <v>362</v>
      </c>
      <c r="B328" t="s">
        <v>62</v>
      </c>
      <c r="C328" t="s">
        <v>25</v>
      </c>
      <c r="D328">
        <v>5</v>
      </c>
      <c r="E328">
        <v>2059.6999999999998</v>
      </c>
      <c r="F328" t="s">
        <v>32</v>
      </c>
      <c r="G328" s="1">
        <v>46177</v>
      </c>
    </row>
    <row r="329" spans="1:7" x14ac:dyDescent="0.35">
      <c r="A329" t="s">
        <v>363</v>
      </c>
      <c r="B329" t="s">
        <v>44</v>
      </c>
      <c r="C329" t="s">
        <v>39</v>
      </c>
      <c r="D329">
        <v>5</v>
      </c>
      <c r="E329">
        <v>3255.6</v>
      </c>
      <c r="F329" t="s">
        <v>46</v>
      </c>
      <c r="G329" s="1">
        <v>46138</v>
      </c>
    </row>
    <row r="330" spans="1:7" x14ac:dyDescent="0.35">
      <c r="A330" t="s">
        <v>364</v>
      </c>
      <c r="B330" t="s">
        <v>31</v>
      </c>
      <c r="C330" t="s">
        <v>13</v>
      </c>
      <c r="D330">
        <v>3</v>
      </c>
      <c r="E330">
        <v>19736.59</v>
      </c>
      <c r="F330" t="s">
        <v>18</v>
      </c>
      <c r="G330" s="1">
        <v>46152</v>
      </c>
    </row>
    <row r="331" spans="1:7" x14ac:dyDescent="0.35">
      <c r="A331" t="s">
        <v>365</v>
      </c>
      <c r="B331" t="s">
        <v>8</v>
      </c>
      <c r="C331" t="s">
        <v>9</v>
      </c>
      <c r="D331">
        <v>2</v>
      </c>
      <c r="E331">
        <v>1634.09</v>
      </c>
      <c r="F331" t="s">
        <v>22</v>
      </c>
      <c r="G331" s="1">
        <v>46135</v>
      </c>
    </row>
    <row r="332" spans="1:7" x14ac:dyDescent="0.35">
      <c r="A332" t="s">
        <v>366</v>
      </c>
      <c r="B332" t="s">
        <v>80</v>
      </c>
      <c r="C332" t="s">
        <v>39</v>
      </c>
      <c r="D332">
        <v>5</v>
      </c>
      <c r="E332">
        <v>4292.24</v>
      </c>
      <c r="F332" t="s">
        <v>32</v>
      </c>
      <c r="G332" s="1">
        <v>46118</v>
      </c>
    </row>
    <row r="333" spans="1:7" x14ac:dyDescent="0.35">
      <c r="A333" t="s">
        <v>367</v>
      </c>
      <c r="B333" t="s">
        <v>24</v>
      </c>
      <c r="C333" t="s">
        <v>25</v>
      </c>
      <c r="D333">
        <v>4</v>
      </c>
      <c r="E333">
        <v>784.42</v>
      </c>
      <c r="F333" t="s">
        <v>32</v>
      </c>
      <c r="G333" s="1">
        <v>46196</v>
      </c>
    </row>
    <row r="334" spans="1:7" x14ac:dyDescent="0.35">
      <c r="A334" t="s">
        <v>368</v>
      </c>
      <c r="B334" t="s">
        <v>16</v>
      </c>
      <c r="C334" t="s">
        <v>17</v>
      </c>
      <c r="D334">
        <v>1</v>
      </c>
      <c r="E334">
        <v>476.03</v>
      </c>
      <c r="F334" t="s">
        <v>32</v>
      </c>
      <c r="G334" s="1">
        <v>46039</v>
      </c>
    </row>
    <row r="335" spans="1:7" x14ac:dyDescent="0.35">
      <c r="A335" t="s">
        <v>369</v>
      </c>
      <c r="B335" t="s">
        <v>55</v>
      </c>
      <c r="C335" t="s">
        <v>25</v>
      </c>
      <c r="D335">
        <v>1</v>
      </c>
      <c r="E335">
        <v>2527.9699999999998</v>
      </c>
      <c r="F335" t="s">
        <v>48</v>
      </c>
      <c r="G335" s="1">
        <v>46095</v>
      </c>
    </row>
    <row r="336" spans="1:7" x14ac:dyDescent="0.35">
      <c r="A336" t="s">
        <v>370</v>
      </c>
      <c r="B336" t="s">
        <v>24</v>
      </c>
      <c r="C336" t="s">
        <v>25</v>
      </c>
      <c r="D336">
        <v>5</v>
      </c>
      <c r="E336">
        <v>858.65</v>
      </c>
      <c r="F336" t="s">
        <v>32</v>
      </c>
      <c r="G336" s="1">
        <v>46043</v>
      </c>
    </row>
    <row r="337" spans="1:7" x14ac:dyDescent="0.35">
      <c r="A337" t="s">
        <v>371</v>
      </c>
      <c r="B337" t="s">
        <v>16</v>
      </c>
      <c r="C337" t="s">
        <v>17</v>
      </c>
      <c r="D337">
        <v>2</v>
      </c>
      <c r="E337">
        <v>487.51</v>
      </c>
      <c r="F337" t="s">
        <v>10</v>
      </c>
      <c r="G337" s="1">
        <v>46190</v>
      </c>
    </row>
    <row r="338" spans="1:7" x14ac:dyDescent="0.35">
      <c r="A338" t="s">
        <v>372</v>
      </c>
      <c r="B338" t="s">
        <v>21</v>
      </c>
      <c r="C338" t="s">
        <v>13</v>
      </c>
      <c r="D338">
        <v>4</v>
      </c>
      <c r="E338">
        <v>25922.13</v>
      </c>
      <c r="F338" t="s">
        <v>18</v>
      </c>
      <c r="G338" s="1">
        <v>46102</v>
      </c>
    </row>
    <row r="339" spans="1:7" x14ac:dyDescent="0.35">
      <c r="A339" t="s">
        <v>373</v>
      </c>
      <c r="B339" t="s">
        <v>80</v>
      </c>
      <c r="C339" t="s">
        <v>39</v>
      </c>
      <c r="D339">
        <v>4</v>
      </c>
      <c r="E339">
        <v>4320.53</v>
      </c>
      <c r="F339" t="s">
        <v>32</v>
      </c>
      <c r="G339" s="1">
        <v>46055</v>
      </c>
    </row>
    <row r="340" spans="1:7" x14ac:dyDescent="0.35">
      <c r="A340" t="s">
        <v>374</v>
      </c>
      <c r="B340" t="s">
        <v>8</v>
      </c>
      <c r="C340" t="s">
        <v>9</v>
      </c>
      <c r="D340">
        <v>5</v>
      </c>
      <c r="E340">
        <v>1653.64</v>
      </c>
      <c r="F340" t="s">
        <v>48</v>
      </c>
      <c r="G340" s="1">
        <v>46153</v>
      </c>
    </row>
    <row r="341" spans="1:7" x14ac:dyDescent="0.35">
      <c r="A341" t="s">
        <v>375</v>
      </c>
      <c r="B341" t="s">
        <v>55</v>
      </c>
      <c r="C341" t="s">
        <v>25</v>
      </c>
      <c r="D341">
        <v>1</v>
      </c>
      <c r="E341">
        <v>2430.33</v>
      </c>
      <c r="F341" t="s">
        <v>26</v>
      </c>
      <c r="G341" s="1">
        <v>46077</v>
      </c>
    </row>
    <row r="342" spans="1:7" x14ac:dyDescent="0.35">
      <c r="A342" t="s">
        <v>376</v>
      </c>
      <c r="B342" t="s">
        <v>55</v>
      </c>
      <c r="C342" t="s">
        <v>25</v>
      </c>
      <c r="D342">
        <v>4</v>
      </c>
      <c r="E342">
        <v>2345.06</v>
      </c>
      <c r="F342" t="s">
        <v>26</v>
      </c>
      <c r="G342" s="1">
        <v>46062</v>
      </c>
    </row>
    <row r="343" spans="1:7" x14ac:dyDescent="0.35">
      <c r="A343" t="s">
        <v>377</v>
      </c>
      <c r="B343" t="s">
        <v>31</v>
      </c>
      <c r="C343" t="s">
        <v>13</v>
      </c>
      <c r="D343">
        <v>3</v>
      </c>
      <c r="E343">
        <v>19239.939999999999</v>
      </c>
      <c r="F343" t="s">
        <v>18</v>
      </c>
      <c r="G343" s="1">
        <v>46152</v>
      </c>
    </row>
    <row r="344" spans="1:7" x14ac:dyDescent="0.35">
      <c r="A344" t="s">
        <v>378</v>
      </c>
      <c r="B344" t="s">
        <v>62</v>
      </c>
      <c r="C344" t="s">
        <v>25</v>
      </c>
      <c r="D344">
        <v>5</v>
      </c>
      <c r="E344">
        <v>2132.98</v>
      </c>
      <c r="F344" t="s">
        <v>14</v>
      </c>
      <c r="G344" s="1">
        <v>46032</v>
      </c>
    </row>
    <row r="345" spans="1:7" x14ac:dyDescent="0.35">
      <c r="A345" t="s">
        <v>379</v>
      </c>
      <c r="B345" t="s">
        <v>8</v>
      </c>
      <c r="C345" t="s">
        <v>9</v>
      </c>
      <c r="D345">
        <v>3</v>
      </c>
      <c r="E345">
        <v>1935.5</v>
      </c>
      <c r="F345" t="s">
        <v>50</v>
      </c>
      <c r="G345" s="1">
        <v>46056</v>
      </c>
    </row>
    <row r="346" spans="1:7" x14ac:dyDescent="0.35">
      <c r="A346" t="s">
        <v>380</v>
      </c>
      <c r="B346" t="s">
        <v>16</v>
      </c>
      <c r="C346" t="s">
        <v>17</v>
      </c>
      <c r="D346">
        <v>4</v>
      </c>
      <c r="E346">
        <v>418.88</v>
      </c>
      <c r="F346" t="s">
        <v>26</v>
      </c>
      <c r="G346" s="1">
        <v>46200</v>
      </c>
    </row>
    <row r="347" spans="1:7" x14ac:dyDescent="0.35">
      <c r="A347" t="s">
        <v>381</v>
      </c>
      <c r="B347" t="s">
        <v>62</v>
      </c>
      <c r="C347" t="s">
        <v>25</v>
      </c>
      <c r="D347">
        <v>5</v>
      </c>
      <c r="E347">
        <v>2122.56</v>
      </c>
      <c r="F347" t="s">
        <v>26</v>
      </c>
      <c r="G347" s="1">
        <v>46135</v>
      </c>
    </row>
    <row r="348" spans="1:7" x14ac:dyDescent="0.35">
      <c r="A348" t="s">
        <v>382</v>
      </c>
      <c r="B348" t="s">
        <v>91</v>
      </c>
      <c r="C348" t="s">
        <v>13</v>
      </c>
      <c r="D348">
        <v>4</v>
      </c>
      <c r="E348">
        <v>53507.29</v>
      </c>
      <c r="F348" t="s">
        <v>29</v>
      </c>
      <c r="G348" s="1">
        <v>46136</v>
      </c>
    </row>
    <row r="349" spans="1:7" x14ac:dyDescent="0.35">
      <c r="A349" t="s">
        <v>383</v>
      </c>
      <c r="B349" t="s">
        <v>16</v>
      </c>
      <c r="C349" t="s">
        <v>17</v>
      </c>
      <c r="D349">
        <v>3</v>
      </c>
      <c r="E349">
        <v>472.72</v>
      </c>
      <c r="F349" t="s">
        <v>22</v>
      </c>
      <c r="G349" s="1">
        <v>46082</v>
      </c>
    </row>
    <row r="350" spans="1:7" x14ac:dyDescent="0.35">
      <c r="A350" t="s">
        <v>384</v>
      </c>
      <c r="B350" t="s">
        <v>80</v>
      </c>
      <c r="C350" t="s">
        <v>39</v>
      </c>
      <c r="D350">
        <v>2</v>
      </c>
      <c r="E350">
        <v>4039.95</v>
      </c>
      <c r="F350" t="s">
        <v>22</v>
      </c>
      <c r="G350" s="1">
        <v>46072</v>
      </c>
    </row>
    <row r="351" spans="1:7" x14ac:dyDescent="0.35">
      <c r="A351" t="s">
        <v>385</v>
      </c>
      <c r="B351" t="s">
        <v>55</v>
      </c>
      <c r="C351" t="s">
        <v>25</v>
      </c>
      <c r="D351">
        <v>5</v>
      </c>
      <c r="E351">
        <v>2741.12</v>
      </c>
      <c r="F351" t="s">
        <v>22</v>
      </c>
      <c r="G351" s="1">
        <v>46095</v>
      </c>
    </row>
    <row r="352" spans="1:7" x14ac:dyDescent="0.35">
      <c r="A352" t="s">
        <v>386</v>
      </c>
      <c r="B352" t="s">
        <v>62</v>
      </c>
      <c r="C352" t="s">
        <v>25</v>
      </c>
      <c r="D352">
        <v>4</v>
      </c>
      <c r="E352">
        <v>2000.16</v>
      </c>
      <c r="F352" t="s">
        <v>48</v>
      </c>
      <c r="G352" s="1">
        <v>46064</v>
      </c>
    </row>
    <row r="353" spans="1:7" x14ac:dyDescent="0.35">
      <c r="A353" t="s">
        <v>387</v>
      </c>
      <c r="B353" t="s">
        <v>38</v>
      </c>
      <c r="C353" t="s">
        <v>39</v>
      </c>
      <c r="D353">
        <v>2</v>
      </c>
      <c r="E353">
        <v>6891.64</v>
      </c>
      <c r="F353" t="s">
        <v>26</v>
      </c>
      <c r="G353" s="1">
        <v>46087</v>
      </c>
    </row>
    <row r="354" spans="1:7" x14ac:dyDescent="0.35">
      <c r="A354" t="s">
        <v>388</v>
      </c>
      <c r="B354" t="s">
        <v>91</v>
      </c>
      <c r="C354" t="s">
        <v>13</v>
      </c>
      <c r="D354">
        <v>4</v>
      </c>
      <c r="E354">
        <v>59115.29</v>
      </c>
      <c r="F354" t="s">
        <v>14</v>
      </c>
      <c r="G354" s="1">
        <v>46049</v>
      </c>
    </row>
    <row r="355" spans="1:7" x14ac:dyDescent="0.35">
      <c r="A355" t="s">
        <v>389</v>
      </c>
      <c r="B355" t="s">
        <v>21</v>
      </c>
      <c r="C355" t="s">
        <v>13</v>
      </c>
      <c r="D355">
        <v>5</v>
      </c>
      <c r="E355">
        <v>29966.53</v>
      </c>
      <c r="F355" t="s">
        <v>10</v>
      </c>
      <c r="G355" s="1">
        <v>46044</v>
      </c>
    </row>
    <row r="356" spans="1:7" x14ac:dyDescent="0.35">
      <c r="A356" t="s">
        <v>390</v>
      </c>
      <c r="B356" t="s">
        <v>62</v>
      </c>
      <c r="C356" t="s">
        <v>25</v>
      </c>
      <c r="D356">
        <v>2</v>
      </c>
      <c r="E356">
        <v>1908.16</v>
      </c>
      <c r="F356" t="s">
        <v>14</v>
      </c>
      <c r="G356" s="1">
        <v>46060</v>
      </c>
    </row>
    <row r="357" spans="1:7" x14ac:dyDescent="0.35">
      <c r="A357" t="s">
        <v>391</v>
      </c>
      <c r="B357" t="s">
        <v>38</v>
      </c>
      <c r="C357" t="s">
        <v>39</v>
      </c>
      <c r="D357">
        <v>4</v>
      </c>
      <c r="E357">
        <v>5969.23</v>
      </c>
      <c r="F357" t="s">
        <v>29</v>
      </c>
      <c r="G357" s="1">
        <v>46138</v>
      </c>
    </row>
    <row r="358" spans="1:7" x14ac:dyDescent="0.35">
      <c r="A358" t="s">
        <v>392</v>
      </c>
      <c r="B358" t="s">
        <v>55</v>
      </c>
      <c r="C358" t="s">
        <v>25</v>
      </c>
      <c r="D358">
        <v>1</v>
      </c>
      <c r="E358">
        <v>2456.4699999999998</v>
      </c>
      <c r="F358" t="s">
        <v>48</v>
      </c>
      <c r="G358" s="1">
        <v>46151</v>
      </c>
    </row>
    <row r="359" spans="1:7" x14ac:dyDescent="0.35">
      <c r="A359" t="s">
        <v>393</v>
      </c>
      <c r="B359" t="s">
        <v>55</v>
      </c>
      <c r="C359" t="s">
        <v>25</v>
      </c>
      <c r="D359">
        <v>2</v>
      </c>
      <c r="E359">
        <v>2442.11</v>
      </c>
      <c r="F359" t="s">
        <v>18</v>
      </c>
      <c r="G359" s="1">
        <v>46118</v>
      </c>
    </row>
    <row r="360" spans="1:7" x14ac:dyDescent="0.35">
      <c r="A360" t="s">
        <v>394</v>
      </c>
      <c r="B360" t="s">
        <v>12</v>
      </c>
      <c r="C360" t="s">
        <v>13</v>
      </c>
      <c r="D360">
        <v>1</v>
      </c>
      <c r="E360">
        <v>1445.61</v>
      </c>
      <c r="F360" t="s">
        <v>18</v>
      </c>
      <c r="G360" s="1">
        <v>46189</v>
      </c>
    </row>
    <row r="361" spans="1:7" x14ac:dyDescent="0.35">
      <c r="A361" t="s">
        <v>395</v>
      </c>
      <c r="B361" t="s">
        <v>55</v>
      </c>
      <c r="C361" t="s">
        <v>25</v>
      </c>
      <c r="D361">
        <v>2</v>
      </c>
      <c r="E361">
        <v>2317.87</v>
      </c>
      <c r="F361" t="s">
        <v>10</v>
      </c>
      <c r="G361" s="1">
        <v>46143</v>
      </c>
    </row>
    <row r="362" spans="1:7" x14ac:dyDescent="0.35">
      <c r="A362" t="s">
        <v>396</v>
      </c>
      <c r="B362" t="s">
        <v>21</v>
      </c>
      <c r="C362" t="s">
        <v>13</v>
      </c>
      <c r="D362">
        <v>2</v>
      </c>
      <c r="E362">
        <v>29449.51</v>
      </c>
      <c r="F362" t="s">
        <v>22</v>
      </c>
      <c r="G362" s="1">
        <v>46137</v>
      </c>
    </row>
    <row r="363" spans="1:7" x14ac:dyDescent="0.35">
      <c r="A363" t="s">
        <v>397</v>
      </c>
      <c r="B363" t="s">
        <v>16</v>
      </c>
      <c r="C363" t="s">
        <v>17</v>
      </c>
      <c r="D363">
        <v>1</v>
      </c>
      <c r="E363">
        <v>486.53</v>
      </c>
      <c r="F363" t="s">
        <v>46</v>
      </c>
      <c r="G363" s="1">
        <v>46088</v>
      </c>
    </row>
    <row r="364" spans="1:7" x14ac:dyDescent="0.35">
      <c r="A364" t="s">
        <v>398</v>
      </c>
      <c r="B364" t="s">
        <v>12</v>
      </c>
      <c r="C364" t="s">
        <v>13</v>
      </c>
      <c r="D364">
        <v>2</v>
      </c>
      <c r="E364">
        <v>1514.64</v>
      </c>
      <c r="F364" t="s">
        <v>50</v>
      </c>
      <c r="G364" s="1">
        <v>46158</v>
      </c>
    </row>
    <row r="365" spans="1:7" x14ac:dyDescent="0.35">
      <c r="A365" t="s">
        <v>399</v>
      </c>
      <c r="B365" t="s">
        <v>28</v>
      </c>
      <c r="C365" t="s">
        <v>9</v>
      </c>
      <c r="D365">
        <v>1</v>
      </c>
      <c r="E365">
        <v>5275.12</v>
      </c>
      <c r="F365" t="s">
        <v>29</v>
      </c>
      <c r="G365" s="1">
        <v>46100</v>
      </c>
    </row>
    <row r="366" spans="1:7" x14ac:dyDescent="0.35">
      <c r="A366" t="s">
        <v>400</v>
      </c>
      <c r="B366" t="s">
        <v>31</v>
      </c>
      <c r="C366" t="s">
        <v>13</v>
      </c>
      <c r="D366">
        <v>1</v>
      </c>
      <c r="E366">
        <v>17058.38</v>
      </c>
      <c r="F366" t="s">
        <v>50</v>
      </c>
      <c r="G366" s="1">
        <v>46140</v>
      </c>
    </row>
    <row r="367" spans="1:7" x14ac:dyDescent="0.35">
      <c r="A367" t="s">
        <v>401</v>
      </c>
      <c r="B367" t="s">
        <v>31</v>
      </c>
      <c r="C367" t="s">
        <v>13</v>
      </c>
      <c r="D367">
        <v>1</v>
      </c>
      <c r="E367">
        <v>19212.080000000002</v>
      </c>
      <c r="F367" t="s">
        <v>22</v>
      </c>
      <c r="G367" s="1">
        <v>46175</v>
      </c>
    </row>
    <row r="368" spans="1:7" x14ac:dyDescent="0.35">
      <c r="A368" t="s">
        <v>402</v>
      </c>
      <c r="B368" t="s">
        <v>80</v>
      </c>
      <c r="C368" t="s">
        <v>39</v>
      </c>
      <c r="D368">
        <v>1</v>
      </c>
      <c r="E368">
        <v>4310.84</v>
      </c>
      <c r="F368" t="s">
        <v>50</v>
      </c>
      <c r="G368" s="1">
        <v>46084</v>
      </c>
    </row>
    <row r="369" spans="1:7" x14ac:dyDescent="0.35">
      <c r="A369" t="s">
        <v>403</v>
      </c>
      <c r="B369" t="s">
        <v>21</v>
      </c>
      <c r="C369" t="s">
        <v>13</v>
      </c>
      <c r="D369">
        <v>2</v>
      </c>
      <c r="E369">
        <v>26831.119999999999</v>
      </c>
      <c r="F369" t="s">
        <v>46</v>
      </c>
      <c r="G369" s="1">
        <v>46180</v>
      </c>
    </row>
    <row r="370" spans="1:7" x14ac:dyDescent="0.35">
      <c r="A370" t="s">
        <v>404</v>
      </c>
      <c r="B370" t="s">
        <v>55</v>
      </c>
      <c r="C370" t="s">
        <v>25</v>
      </c>
      <c r="D370">
        <v>2</v>
      </c>
      <c r="E370">
        <v>2534.3200000000002</v>
      </c>
      <c r="F370" t="s">
        <v>26</v>
      </c>
      <c r="G370" s="1">
        <v>46193</v>
      </c>
    </row>
    <row r="371" spans="1:7" x14ac:dyDescent="0.35">
      <c r="A371" t="s">
        <v>405</v>
      </c>
      <c r="B371" t="s">
        <v>8</v>
      </c>
      <c r="C371" t="s">
        <v>9</v>
      </c>
      <c r="D371">
        <v>1</v>
      </c>
      <c r="E371">
        <v>1808.45</v>
      </c>
      <c r="F371" t="s">
        <v>32</v>
      </c>
      <c r="G371" s="1">
        <v>46040</v>
      </c>
    </row>
    <row r="372" spans="1:7" x14ac:dyDescent="0.35">
      <c r="A372" t="s">
        <v>406</v>
      </c>
      <c r="B372" t="s">
        <v>80</v>
      </c>
      <c r="C372" t="s">
        <v>39</v>
      </c>
      <c r="D372">
        <v>5</v>
      </c>
      <c r="E372">
        <v>4206.16</v>
      </c>
      <c r="F372" t="s">
        <v>14</v>
      </c>
      <c r="G372" s="1">
        <v>46164</v>
      </c>
    </row>
    <row r="373" spans="1:7" x14ac:dyDescent="0.35">
      <c r="A373" t="s">
        <v>407</v>
      </c>
      <c r="B373" t="s">
        <v>91</v>
      </c>
      <c r="C373" t="s">
        <v>13</v>
      </c>
      <c r="D373">
        <v>4</v>
      </c>
      <c r="E373">
        <v>59106.65</v>
      </c>
      <c r="F373" t="s">
        <v>46</v>
      </c>
      <c r="G373" s="1">
        <v>46185</v>
      </c>
    </row>
    <row r="374" spans="1:7" x14ac:dyDescent="0.35">
      <c r="A374" t="s">
        <v>408</v>
      </c>
      <c r="B374" t="s">
        <v>28</v>
      </c>
      <c r="C374" t="s">
        <v>9</v>
      </c>
      <c r="D374">
        <v>3</v>
      </c>
      <c r="E374">
        <v>4752.7</v>
      </c>
      <c r="F374" t="s">
        <v>46</v>
      </c>
      <c r="G374" s="1">
        <v>46114</v>
      </c>
    </row>
    <row r="375" spans="1:7" x14ac:dyDescent="0.35">
      <c r="A375" t="s">
        <v>409</v>
      </c>
      <c r="B375" t="s">
        <v>62</v>
      </c>
      <c r="C375" t="s">
        <v>25</v>
      </c>
      <c r="D375">
        <v>1</v>
      </c>
      <c r="E375">
        <v>1936.95</v>
      </c>
      <c r="F375" t="s">
        <v>18</v>
      </c>
      <c r="G375" s="1">
        <v>46171</v>
      </c>
    </row>
    <row r="376" spans="1:7" x14ac:dyDescent="0.35">
      <c r="A376" t="s">
        <v>410</v>
      </c>
      <c r="B376" t="s">
        <v>21</v>
      </c>
      <c r="C376" t="s">
        <v>13</v>
      </c>
      <c r="D376">
        <v>3</v>
      </c>
      <c r="E376">
        <v>25947.09</v>
      </c>
      <c r="F376" t="s">
        <v>32</v>
      </c>
      <c r="G376" s="1">
        <v>46162</v>
      </c>
    </row>
    <row r="377" spans="1:7" x14ac:dyDescent="0.35">
      <c r="A377" t="s">
        <v>411</v>
      </c>
      <c r="B377" t="s">
        <v>55</v>
      </c>
      <c r="C377" t="s">
        <v>25</v>
      </c>
      <c r="D377">
        <v>2</v>
      </c>
      <c r="E377">
        <v>2664.13</v>
      </c>
      <c r="F377" t="s">
        <v>22</v>
      </c>
      <c r="G377" s="1">
        <v>46201</v>
      </c>
    </row>
    <row r="378" spans="1:7" x14ac:dyDescent="0.35">
      <c r="A378" t="s">
        <v>412</v>
      </c>
      <c r="B378" t="s">
        <v>44</v>
      </c>
      <c r="C378" t="s">
        <v>39</v>
      </c>
      <c r="D378">
        <v>2</v>
      </c>
      <c r="E378">
        <v>3718.05</v>
      </c>
      <c r="F378" t="s">
        <v>18</v>
      </c>
      <c r="G378" s="1">
        <v>46140</v>
      </c>
    </row>
    <row r="379" spans="1:7" x14ac:dyDescent="0.35">
      <c r="A379" t="s">
        <v>413</v>
      </c>
      <c r="B379" t="s">
        <v>91</v>
      </c>
      <c r="C379" t="s">
        <v>13</v>
      </c>
      <c r="D379">
        <v>3</v>
      </c>
      <c r="E379">
        <v>51717.5</v>
      </c>
      <c r="F379" t="s">
        <v>29</v>
      </c>
      <c r="G379" s="1">
        <v>46033</v>
      </c>
    </row>
    <row r="380" spans="1:7" x14ac:dyDescent="0.35">
      <c r="A380" t="s">
        <v>414</v>
      </c>
      <c r="B380" t="s">
        <v>55</v>
      </c>
      <c r="C380" t="s">
        <v>25</v>
      </c>
      <c r="D380">
        <v>3</v>
      </c>
      <c r="E380">
        <v>2506.69</v>
      </c>
      <c r="F380" t="s">
        <v>14</v>
      </c>
      <c r="G380" s="1">
        <v>46144</v>
      </c>
    </row>
    <row r="381" spans="1:7" x14ac:dyDescent="0.35">
      <c r="A381" t="s">
        <v>415</v>
      </c>
      <c r="B381" t="s">
        <v>24</v>
      </c>
      <c r="C381" t="s">
        <v>25</v>
      </c>
      <c r="D381">
        <v>1</v>
      </c>
      <c r="E381">
        <v>839.48</v>
      </c>
      <c r="F381" t="s">
        <v>29</v>
      </c>
      <c r="G381" s="1">
        <v>46096</v>
      </c>
    </row>
    <row r="382" spans="1:7" x14ac:dyDescent="0.35">
      <c r="A382" t="s">
        <v>416</v>
      </c>
      <c r="B382" t="s">
        <v>55</v>
      </c>
      <c r="C382" t="s">
        <v>25</v>
      </c>
      <c r="D382">
        <v>1</v>
      </c>
      <c r="E382">
        <v>2681.83</v>
      </c>
      <c r="F382" t="s">
        <v>32</v>
      </c>
      <c r="G382" s="1">
        <v>46092</v>
      </c>
    </row>
    <row r="383" spans="1:7" x14ac:dyDescent="0.35">
      <c r="A383" t="s">
        <v>417</v>
      </c>
      <c r="B383" t="s">
        <v>31</v>
      </c>
      <c r="C383" t="s">
        <v>13</v>
      </c>
      <c r="D383">
        <v>3</v>
      </c>
      <c r="E383">
        <v>17773.02</v>
      </c>
      <c r="F383" t="s">
        <v>48</v>
      </c>
      <c r="G383" s="1">
        <v>46135</v>
      </c>
    </row>
    <row r="384" spans="1:7" x14ac:dyDescent="0.35">
      <c r="A384" t="s">
        <v>418</v>
      </c>
      <c r="B384" t="s">
        <v>28</v>
      </c>
      <c r="C384" t="s">
        <v>9</v>
      </c>
      <c r="D384">
        <v>3</v>
      </c>
      <c r="E384">
        <v>5472.63</v>
      </c>
      <c r="F384" t="s">
        <v>22</v>
      </c>
      <c r="G384" s="1">
        <v>46200</v>
      </c>
    </row>
    <row r="385" spans="1:7" x14ac:dyDescent="0.35">
      <c r="A385" t="s">
        <v>419</v>
      </c>
      <c r="B385" t="s">
        <v>44</v>
      </c>
      <c r="C385" t="s">
        <v>39</v>
      </c>
      <c r="D385">
        <v>3</v>
      </c>
      <c r="E385">
        <v>3797.02</v>
      </c>
      <c r="F385" t="s">
        <v>14</v>
      </c>
      <c r="G385" s="1">
        <v>46091</v>
      </c>
    </row>
    <row r="386" spans="1:7" x14ac:dyDescent="0.35">
      <c r="A386" t="s">
        <v>420</v>
      </c>
      <c r="B386" t="s">
        <v>62</v>
      </c>
      <c r="C386" t="s">
        <v>25</v>
      </c>
      <c r="D386">
        <v>1</v>
      </c>
      <c r="E386">
        <v>2089.79</v>
      </c>
      <c r="F386" t="s">
        <v>18</v>
      </c>
      <c r="G386" s="1">
        <v>46133</v>
      </c>
    </row>
    <row r="387" spans="1:7" x14ac:dyDescent="0.35">
      <c r="A387" t="s">
        <v>421</v>
      </c>
      <c r="B387" t="s">
        <v>16</v>
      </c>
      <c r="C387" t="s">
        <v>17</v>
      </c>
      <c r="D387">
        <v>2</v>
      </c>
      <c r="E387">
        <v>454.09</v>
      </c>
      <c r="F387" t="s">
        <v>32</v>
      </c>
      <c r="G387" s="1">
        <v>46049</v>
      </c>
    </row>
    <row r="388" spans="1:7" x14ac:dyDescent="0.35">
      <c r="A388" t="s">
        <v>422</v>
      </c>
      <c r="B388" t="s">
        <v>31</v>
      </c>
      <c r="C388" t="s">
        <v>13</v>
      </c>
      <c r="D388">
        <v>3</v>
      </c>
      <c r="E388">
        <v>18579.310000000001</v>
      </c>
      <c r="F388" t="s">
        <v>10</v>
      </c>
      <c r="G388" s="1">
        <v>46137</v>
      </c>
    </row>
    <row r="389" spans="1:7" x14ac:dyDescent="0.35">
      <c r="A389" t="s">
        <v>423</v>
      </c>
      <c r="B389" t="s">
        <v>16</v>
      </c>
      <c r="C389" t="s">
        <v>17</v>
      </c>
      <c r="D389">
        <v>4</v>
      </c>
      <c r="E389">
        <v>420</v>
      </c>
      <c r="F389" t="s">
        <v>22</v>
      </c>
      <c r="G389" s="1">
        <v>46112</v>
      </c>
    </row>
    <row r="390" spans="1:7" x14ac:dyDescent="0.35">
      <c r="A390" t="s">
        <v>424</v>
      </c>
      <c r="B390" t="s">
        <v>44</v>
      </c>
      <c r="C390" t="s">
        <v>39</v>
      </c>
      <c r="D390">
        <v>1</v>
      </c>
      <c r="E390">
        <v>3658.77</v>
      </c>
      <c r="F390" t="s">
        <v>32</v>
      </c>
      <c r="G390" s="1">
        <v>46180</v>
      </c>
    </row>
    <row r="391" spans="1:7" x14ac:dyDescent="0.35">
      <c r="A391" t="s">
        <v>425</v>
      </c>
      <c r="B391" t="s">
        <v>28</v>
      </c>
      <c r="C391" t="s">
        <v>9</v>
      </c>
      <c r="D391">
        <v>3</v>
      </c>
      <c r="E391">
        <v>5138.4399999999996</v>
      </c>
      <c r="F391" t="s">
        <v>46</v>
      </c>
      <c r="G391" s="1">
        <v>46042</v>
      </c>
    </row>
    <row r="392" spans="1:7" x14ac:dyDescent="0.35">
      <c r="A392" t="s">
        <v>426</v>
      </c>
      <c r="B392" t="s">
        <v>8</v>
      </c>
      <c r="C392" t="s">
        <v>9</v>
      </c>
      <c r="D392">
        <v>4</v>
      </c>
      <c r="E392">
        <v>1750.79</v>
      </c>
      <c r="F392" t="s">
        <v>26</v>
      </c>
      <c r="G392" s="1">
        <v>46030</v>
      </c>
    </row>
    <row r="393" spans="1:7" x14ac:dyDescent="0.35">
      <c r="A393" t="s">
        <v>427</v>
      </c>
      <c r="B393" t="s">
        <v>72</v>
      </c>
      <c r="C393" t="s">
        <v>13</v>
      </c>
      <c r="D393">
        <v>5</v>
      </c>
      <c r="E393">
        <v>2278.36</v>
      </c>
      <c r="F393" t="s">
        <v>22</v>
      </c>
      <c r="G393" s="1">
        <v>46031</v>
      </c>
    </row>
    <row r="394" spans="1:7" x14ac:dyDescent="0.35">
      <c r="A394" t="s">
        <v>428</v>
      </c>
      <c r="B394" t="s">
        <v>72</v>
      </c>
      <c r="C394" t="s">
        <v>13</v>
      </c>
      <c r="D394">
        <v>1</v>
      </c>
      <c r="E394">
        <v>2083.84</v>
      </c>
      <c r="F394" t="s">
        <v>32</v>
      </c>
      <c r="G394" s="1">
        <v>46115</v>
      </c>
    </row>
    <row r="395" spans="1:7" x14ac:dyDescent="0.35">
      <c r="A395" t="s">
        <v>429</v>
      </c>
      <c r="B395" t="s">
        <v>28</v>
      </c>
      <c r="C395" t="s">
        <v>9</v>
      </c>
      <c r="D395">
        <v>5</v>
      </c>
      <c r="E395">
        <v>4531.4799999999996</v>
      </c>
      <c r="F395" t="s">
        <v>26</v>
      </c>
      <c r="G395" s="1">
        <v>46196</v>
      </c>
    </row>
    <row r="396" spans="1:7" x14ac:dyDescent="0.35">
      <c r="A396" t="s">
        <v>430</v>
      </c>
      <c r="B396" t="s">
        <v>44</v>
      </c>
      <c r="C396" t="s">
        <v>39</v>
      </c>
      <c r="D396">
        <v>3</v>
      </c>
      <c r="E396">
        <v>3410.41</v>
      </c>
      <c r="F396" t="s">
        <v>18</v>
      </c>
      <c r="G396" s="1">
        <v>46169</v>
      </c>
    </row>
    <row r="397" spans="1:7" x14ac:dyDescent="0.35">
      <c r="A397" t="s">
        <v>431</v>
      </c>
      <c r="B397" t="s">
        <v>72</v>
      </c>
      <c r="C397" t="s">
        <v>13</v>
      </c>
      <c r="D397">
        <v>5</v>
      </c>
      <c r="E397">
        <v>2141.46</v>
      </c>
      <c r="F397" t="s">
        <v>32</v>
      </c>
      <c r="G397" s="1">
        <v>46189</v>
      </c>
    </row>
    <row r="398" spans="1:7" x14ac:dyDescent="0.35">
      <c r="A398" t="s">
        <v>432</v>
      </c>
      <c r="B398" t="s">
        <v>24</v>
      </c>
      <c r="C398" t="s">
        <v>25</v>
      </c>
      <c r="D398">
        <v>2</v>
      </c>
      <c r="E398">
        <v>872.59</v>
      </c>
      <c r="F398" t="s">
        <v>46</v>
      </c>
      <c r="G398" s="1">
        <v>46070</v>
      </c>
    </row>
    <row r="399" spans="1:7" x14ac:dyDescent="0.35">
      <c r="A399" t="s">
        <v>433</v>
      </c>
      <c r="B399" t="s">
        <v>44</v>
      </c>
      <c r="C399" t="s">
        <v>39</v>
      </c>
      <c r="D399">
        <v>5</v>
      </c>
      <c r="E399">
        <v>3420.89</v>
      </c>
      <c r="F399" t="s">
        <v>14</v>
      </c>
      <c r="G399" s="1">
        <v>46053</v>
      </c>
    </row>
    <row r="400" spans="1:7" x14ac:dyDescent="0.35">
      <c r="A400" t="s">
        <v>434</v>
      </c>
      <c r="B400" t="s">
        <v>24</v>
      </c>
      <c r="C400" t="s">
        <v>25</v>
      </c>
      <c r="D400">
        <v>3</v>
      </c>
      <c r="E400">
        <v>831.61</v>
      </c>
      <c r="F400" t="s">
        <v>29</v>
      </c>
      <c r="G400" s="1">
        <v>46179</v>
      </c>
    </row>
    <row r="401" spans="1:7" x14ac:dyDescent="0.35">
      <c r="A401" t="s">
        <v>435</v>
      </c>
      <c r="B401" t="s">
        <v>24</v>
      </c>
      <c r="C401" t="s">
        <v>25</v>
      </c>
      <c r="D401">
        <v>4</v>
      </c>
      <c r="E401">
        <v>751.09</v>
      </c>
      <c r="F401" t="s">
        <v>26</v>
      </c>
      <c r="G401" s="1">
        <v>46041</v>
      </c>
    </row>
    <row r="402" spans="1:7" x14ac:dyDescent="0.35">
      <c r="A402" t="s">
        <v>436</v>
      </c>
      <c r="B402" t="s">
        <v>44</v>
      </c>
      <c r="C402" t="s">
        <v>39</v>
      </c>
      <c r="D402">
        <v>2</v>
      </c>
      <c r="E402">
        <v>3779.08</v>
      </c>
      <c r="F402" t="s">
        <v>22</v>
      </c>
      <c r="G402" s="1">
        <v>46045</v>
      </c>
    </row>
    <row r="403" spans="1:7" x14ac:dyDescent="0.35">
      <c r="A403" t="s">
        <v>437</v>
      </c>
      <c r="B403" t="s">
        <v>62</v>
      </c>
      <c r="C403" t="s">
        <v>25</v>
      </c>
      <c r="D403">
        <v>3</v>
      </c>
      <c r="E403">
        <v>2066.1</v>
      </c>
      <c r="F403" t="s">
        <v>18</v>
      </c>
      <c r="G403" s="1">
        <v>46163</v>
      </c>
    </row>
    <row r="404" spans="1:7" x14ac:dyDescent="0.35">
      <c r="A404" t="s">
        <v>438</v>
      </c>
      <c r="B404" t="s">
        <v>80</v>
      </c>
      <c r="C404" t="s">
        <v>39</v>
      </c>
      <c r="D404">
        <v>3</v>
      </c>
      <c r="E404">
        <v>4528.72</v>
      </c>
      <c r="F404" t="s">
        <v>26</v>
      </c>
      <c r="G404" s="1">
        <v>46202</v>
      </c>
    </row>
    <row r="405" spans="1:7" x14ac:dyDescent="0.35">
      <c r="A405" t="s">
        <v>439</v>
      </c>
      <c r="B405" t="s">
        <v>8</v>
      </c>
      <c r="C405" t="s">
        <v>9</v>
      </c>
      <c r="D405">
        <v>2</v>
      </c>
      <c r="E405">
        <v>1905.73</v>
      </c>
      <c r="F405" t="s">
        <v>14</v>
      </c>
      <c r="G405" s="1">
        <v>46080</v>
      </c>
    </row>
    <row r="406" spans="1:7" x14ac:dyDescent="0.35">
      <c r="A406" t="s">
        <v>440</v>
      </c>
      <c r="B406" t="s">
        <v>31</v>
      </c>
      <c r="C406" t="s">
        <v>13</v>
      </c>
      <c r="D406">
        <v>2</v>
      </c>
      <c r="E406">
        <v>19051.439999999999</v>
      </c>
      <c r="F406" t="s">
        <v>29</v>
      </c>
      <c r="G406" s="1">
        <v>46149</v>
      </c>
    </row>
    <row r="407" spans="1:7" x14ac:dyDescent="0.35">
      <c r="A407" t="s">
        <v>441</v>
      </c>
      <c r="B407" t="s">
        <v>91</v>
      </c>
      <c r="C407" t="s">
        <v>13</v>
      </c>
      <c r="D407">
        <v>3</v>
      </c>
      <c r="E407">
        <v>55594.239999999998</v>
      </c>
      <c r="F407" t="s">
        <v>32</v>
      </c>
      <c r="G407" s="1">
        <v>46142</v>
      </c>
    </row>
    <row r="408" spans="1:7" x14ac:dyDescent="0.35">
      <c r="A408" t="s">
        <v>442</v>
      </c>
      <c r="B408" t="s">
        <v>62</v>
      </c>
      <c r="C408" t="s">
        <v>25</v>
      </c>
      <c r="D408">
        <v>5</v>
      </c>
      <c r="E408">
        <v>1850.98</v>
      </c>
      <c r="F408" t="s">
        <v>18</v>
      </c>
      <c r="G408" s="1">
        <v>46039</v>
      </c>
    </row>
    <row r="409" spans="1:7" x14ac:dyDescent="0.35">
      <c r="A409" t="s">
        <v>443</v>
      </c>
      <c r="B409" t="s">
        <v>24</v>
      </c>
      <c r="C409" t="s">
        <v>25</v>
      </c>
      <c r="D409">
        <v>4</v>
      </c>
      <c r="E409">
        <v>878.84</v>
      </c>
      <c r="F409" t="s">
        <v>22</v>
      </c>
      <c r="G409" s="1">
        <v>46157</v>
      </c>
    </row>
    <row r="410" spans="1:7" x14ac:dyDescent="0.35">
      <c r="A410" t="s">
        <v>444</v>
      </c>
      <c r="B410" t="s">
        <v>28</v>
      </c>
      <c r="C410" t="s">
        <v>9</v>
      </c>
      <c r="D410">
        <v>4</v>
      </c>
      <c r="E410">
        <v>5322.27</v>
      </c>
      <c r="F410" t="s">
        <v>18</v>
      </c>
      <c r="G410" s="1">
        <v>46055</v>
      </c>
    </row>
    <row r="411" spans="1:7" x14ac:dyDescent="0.35">
      <c r="A411" t="s">
        <v>445</v>
      </c>
      <c r="B411" t="s">
        <v>55</v>
      </c>
      <c r="C411" t="s">
        <v>25</v>
      </c>
      <c r="D411">
        <v>1</v>
      </c>
      <c r="E411">
        <v>2474</v>
      </c>
      <c r="F411" t="s">
        <v>14</v>
      </c>
      <c r="G411" s="1">
        <v>46111</v>
      </c>
    </row>
    <row r="412" spans="1:7" x14ac:dyDescent="0.35">
      <c r="A412" t="s">
        <v>446</v>
      </c>
      <c r="B412" t="s">
        <v>72</v>
      </c>
      <c r="C412" t="s">
        <v>13</v>
      </c>
      <c r="D412">
        <v>5</v>
      </c>
      <c r="E412">
        <v>2261.5100000000002</v>
      </c>
      <c r="F412" t="s">
        <v>26</v>
      </c>
      <c r="G412" s="1">
        <v>46056</v>
      </c>
    </row>
    <row r="413" spans="1:7" x14ac:dyDescent="0.35">
      <c r="A413" t="s">
        <v>447</v>
      </c>
      <c r="B413" t="s">
        <v>28</v>
      </c>
      <c r="C413" t="s">
        <v>9</v>
      </c>
      <c r="D413">
        <v>5</v>
      </c>
      <c r="E413">
        <v>5409.63</v>
      </c>
      <c r="F413" t="s">
        <v>46</v>
      </c>
      <c r="G413" s="1">
        <v>46054</v>
      </c>
    </row>
    <row r="414" spans="1:7" x14ac:dyDescent="0.35">
      <c r="A414" t="s">
        <v>448</v>
      </c>
      <c r="B414" t="s">
        <v>80</v>
      </c>
      <c r="C414" t="s">
        <v>39</v>
      </c>
      <c r="D414">
        <v>2</v>
      </c>
      <c r="E414">
        <v>4035.46</v>
      </c>
      <c r="F414" t="s">
        <v>26</v>
      </c>
      <c r="G414" s="1">
        <v>46105</v>
      </c>
    </row>
    <row r="415" spans="1:7" x14ac:dyDescent="0.35">
      <c r="A415" t="s">
        <v>449</v>
      </c>
      <c r="B415" t="s">
        <v>21</v>
      </c>
      <c r="C415" t="s">
        <v>13</v>
      </c>
      <c r="D415">
        <v>2</v>
      </c>
      <c r="E415">
        <v>27137.73</v>
      </c>
      <c r="F415" t="s">
        <v>14</v>
      </c>
      <c r="G415" s="1">
        <v>46095</v>
      </c>
    </row>
    <row r="416" spans="1:7" x14ac:dyDescent="0.35">
      <c r="A416" t="s">
        <v>450</v>
      </c>
      <c r="B416" t="s">
        <v>38</v>
      </c>
      <c r="C416" t="s">
        <v>39</v>
      </c>
      <c r="D416">
        <v>1</v>
      </c>
      <c r="E416">
        <v>6175.79</v>
      </c>
      <c r="F416" t="s">
        <v>14</v>
      </c>
      <c r="G416" s="1">
        <v>46093</v>
      </c>
    </row>
    <row r="417" spans="1:7" x14ac:dyDescent="0.35">
      <c r="A417" t="s">
        <v>451</v>
      </c>
      <c r="B417" t="s">
        <v>72</v>
      </c>
      <c r="C417" t="s">
        <v>13</v>
      </c>
      <c r="D417">
        <v>3</v>
      </c>
      <c r="E417">
        <v>2250.35</v>
      </c>
      <c r="F417" t="s">
        <v>18</v>
      </c>
      <c r="G417" s="1">
        <v>46151</v>
      </c>
    </row>
    <row r="418" spans="1:7" x14ac:dyDescent="0.35">
      <c r="A418" t="s">
        <v>452</v>
      </c>
      <c r="B418" t="s">
        <v>8</v>
      </c>
      <c r="C418" t="s">
        <v>9</v>
      </c>
      <c r="D418">
        <v>2</v>
      </c>
      <c r="E418">
        <v>1833.05</v>
      </c>
      <c r="F418" t="s">
        <v>50</v>
      </c>
      <c r="G418" s="1">
        <v>46062</v>
      </c>
    </row>
    <row r="419" spans="1:7" x14ac:dyDescent="0.35">
      <c r="A419" t="s">
        <v>453</v>
      </c>
      <c r="B419" t="s">
        <v>72</v>
      </c>
      <c r="C419" t="s">
        <v>13</v>
      </c>
      <c r="D419">
        <v>5</v>
      </c>
      <c r="E419">
        <v>2297.08</v>
      </c>
      <c r="F419" t="s">
        <v>50</v>
      </c>
      <c r="G419" s="1">
        <v>46109</v>
      </c>
    </row>
    <row r="420" spans="1:7" x14ac:dyDescent="0.35">
      <c r="A420" t="s">
        <v>454</v>
      </c>
      <c r="B420" t="s">
        <v>38</v>
      </c>
      <c r="C420" t="s">
        <v>39</v>
      </c>
      <c r="D420">
        <v>5</v>
      </c>
      <c r="E420">
        <v>5903.55</v>
      </c>
      <c r="F420" t="s">
        <v>46</v>
      </c>
      <c r="G420" s="1">
        <v>46043</v>
      </c>
    </row>
    <row r="421" spans="1:7" x14ac:dyDescent="0.35">
      <c r="A421" t="s">
        <v>455</v>
      </c>
      <c r="B421" t="s">
        <v>91</v>
      </c>
      <c r="C421" t="s">
        <v>13</v>
      </c>
      <c r="D421">
        <v>5</v>
      </c>
      <c r="E421">
        <v>52411.21</v>
      </c>
      <c r="F421" t="s">
        <v>29</v>
      </c>
      <c r="G421" s="1">
        <v>46169</v>
      </c>
    </row>
    <row r="422" spans="1:7" x14ac:dyDescent="0.35">
      <c r="A422" t="s">
        <v>456</v>
      </c>
      <c r="B422" t="s">
        <v>28</v>
      </c>
      <c r="C422" t="s">
        <v>9</v>
      </c>
      <c r="D422">
        <v>5</v>
      </c>
      <c r="E422">
        <v>5137.96</v>
      </c>
      <c r="F422" t="s">
        <v>22</v>
      </c>
      <c r="G422" s="1">
        <v>46183</v>
      </c>
    </row>
    <row r="423" spans="1:7" x14ac:dyDescent="0.35">
      <c r="A423" t="s">
        <v>457</v>
      </c>
      <c r="B423" t="s">
        <v>80</v>
      </c>
      <c r="C423" t="s">
        <v>39</v>
      </c>
      <c r="D423">
        <v>3</v>
      </c>
      <c r="E423">
        <v>4319.2</v>
      </c>
      <c r="F423" t="s">
        <v>10</v>
      </c>
      <c r="G423" s="1">
        <v>46146</v>
      </c>
    </row>
    <row r="424" spans="1:7" x14ac:dyDescent="0.35">
      <c r="A424" t="s">
        <v>458</v>
      </c>
      <c r="B424" t="s">
        <v>12</v>
      </c>
      <c r="C424" t="s">
        <v>13</v>
      </c>
      <c r="D424">
        <v>4</v>
      </c>
      <c r="E424">
        <v>1439.23</v>
      </c>
      <c r="F424" t="s">
        <v>18</v>
      </c>
      <c r="G424" s="1">
        <v>46199</v>
      </c>
    </row>
    <row r="425" spans="1:7" x14ac:dyDescent="0.35">
      <c r="A425" t="s">
        <v>459</v>
      </c>
      <c r="B425" t="s">
        <v>91</v>
      </c>
      <c r="C425" t="s">
        <v>13</v>
      </c>
      <c r="D425">
        <v>2</v>
      </c>
      <c r="E425">
        <v>54335.66</v>
      </c>
      <c r="F425" t="s">
        <v>22</v>
      </c>
      <c r="G425" s="1">
        <v>46141</v>
      </c>
    </row>
    <row r="426" spans="1:7" x14ac:dyDescent="0.35">
      <c r="A426" t="s">
        <v>460</v>
      </c>
      <c r="B426" t="s">
        <v>12</v>
      </c>
      <c r="C426" t="s">
        <v>13</v>
      </c>
      <c r="D426">
        <v>3</v>
      </c>
      <c r="E426">
        <v>1532</v>
      </c>
      <c r="F426" t="s">
        <v>32</v>
      </c>
      <c r="G426" s="1">
        <v>46104</v>
      </c>
    </row>
    <row r="427" spans="1:7" x14ac:dyDescent="0.35">
      <c r="A427" t="s">
        <v>461</v>
      </c>
      <c r="B427" t="s">
        <v>21</v>
      </c>
      <c r="C427" t="s">
        <v>13</v>
      </c>
      <c r="D427">
        <v>3</v>
      </c>
      <c r="E427">
        <v>30662.1</v>
      </c>
      <c r="F427" t="s">
        <v>26</v>
      </c>
      <c r="G427" s="1">
        <v>46117</v>
      </c>
    </row>
    <row r="428" spans="1:7" x14ac:dyDescent="0.35">
      <c r="A428" t="s">
        <v>462</v>
      </c>
      <c r="B428" t="s">
        <v>80</v>
      </c>
      <c r="C428" t="s">
        <v>39</v>
      </c>
      <c r="D428">
        <v>5</v>
      </c>
      <c r="E428">
        <v>3869.19</v>
      </c>
      <c r="F428" t="s">
        <v>29</v>
      </c>
      <c r="G428" s="1">
        <v>46142</v>
      </c>
    </row>
    <row r="429" spans="1:7" x14ac:dyDescent="0.35">
      <c r="A429" t="s">
        <v>463</v>
      </c>
      <c r="B429" t="s">
        <v>31</v>
      </c>
      <c r="C429" t="s">
        <v>13</v>
      </c>
      <c r="D429">
        <v>3</v>
      </c>
      <c r="E429">
        <v>17818.55</v>
      </c>
      <c r="F429" t="s">
        <v>26</v>
      </c>
      <c r="G429" s="1">
        <v>46047</v>
      </c>
    </row>
    <row r="430" spans="1:7" x14ac:dyDescent="0.35">
      <c r="A430" t="s">
        <v>464</v>
      </c>
      <c r="B430" t="s">
        <v>91</v>
      </c>
      <c r="C430" t="s">
        <v>13</v>
      </c>
      <c r="D430">
        <v>3</v>
      </c>
      <c r="E430">
        <v>59899.23</v>
      </c>
      <c r="F430" t="s">
        <v>50</v>
      </c>
      <c r="G430" s="1">
        <v>46130</v>
      </c>
    </row>
    <row r="431" spans="1:7" x14ac:dyDescent="0.35">
      <c r="A431" t="s">
        <v>465</v>
      </c>
      <c r="B431" t="s">
        <v>12</v>
      </c>
      <c r="C431" t="s">
        <v>13</v>
      </c>
      <c r="D431">
        <v>2</v>
      </c>
      <c r="E431">
        <v>1594.04</v>
      </c>
      <c r="F431" t="s">
        <v>50</v>
      </c>
      <c r="G431" s="1">
        <v>46103</v>
      </c>
    </row>
    <row r="432" spans="1:7" x14ac:dyDescent="0.35">
      <c r="A432" t="s">
        <v>466</v>
      </c>
      <c r="B432" t="s">
        <v>12</v>
      </c>
      <c r="C432" t="s">
        <v>13</v>
      </c>
      <c r="D432">
        <v>2</v>
      </c>
      <c r="E432">
        <v>1499.48</v>
      </c>
      <c r="F432" t="s">
        <v>14</v>
      </c>
      <c r="G432" s="1">
        <v>46142</v>
      </c>
    </row>
    <row r="433" spans="1:7" x14ac:dyDescent="0.35">
      <c r="A433" t="s">
        <v>467</v>
      </c>
      <c r="B433" t="s">
        <v>44</v>
      </c>
      <c r="C433" t="s">
        <v>39</v>
      </c>
      <c r="D433">
        <v>3</v>
      </c>
      <c r="E433">
        <v>3498.16</v>
      </c>
      <c r="F433" t="s">
        <v>18</v>
      </c>
      <c r="G433" s="1">
        <v>46123</v>
      </c>
    </row>
    <row r="434" spans="1:7" x14ac:dyDescent="0.35">
      <c r="A434" t="s">
        <v>468</v>
      </c>
      <c r="B434" t="s">
        <v>80</v>
      </c>
      <c r="C434" t="s">
        <v>39</v>
      </c>
      <c r="D434">
        <v>4</v>
      </c>
      <c r="E434">
        <v>4592.0200000000004</v>
      </c>
      <c r="F434" t="s">
        <v>29</v>
      </c>
      <c r="G434" s="1">
        <v>46172</v>
      </c>
    </row>
    <row r="435" spans="1:7" x14ac:dyDescent="0.35">
      <c r="A435" t="s">
        <v>469</v>
      </c>
      <c r="B435" t="s">
        <v>55</v>
      </c>
      <c r="C435" t="s">
        <v>25</v>
      </c>
      <c r="D435">
        <v>1</v>
      </c>
      <c r="E435">
        <v>2274.36</v>
      </c>
      <c r="F435" t="s">
        <v>22</v>
      </c>
      <c r="G435" s="1">
        <v>46175</v>
      </c>
    </row>
    <row r="436" spans="1:7" x14ac:dyDescent="0.35">
      <c r="A436" t="s">
        <v>470</v>
      </c>
      <c r="B436" t="s">
        <v>38</v>
      </c>
      <c r="C436" t="s">
        <v>39</v>
      </c>
      <c r="D436">
        <v>4</v>
      </c>
      <c r="E436">
        <v>6221.47</v>
      </c>
      <c r="F436" t="s">
        <v>46</v>
      </c>
      <c r="G436" s="1">
        <v>46050</v>
      </c>
    </row>
    <row r="437" spans="1:7" x14ac:dyDescent="0.35">
      <c r="A437" t="s">
        <v>471</v>
      </c>
      <c r="B437" t="s">
        <v>28</v>
      </c>
      <c r="C437" t="s">
        <v>9</v>
      </c>
      <c r="D437">
        <v>2</v>
      </c>
      <c r="E437">
        <v>5381.38</v>
      </c>
      <c r="F437" t="s">
        <v>32</v>
      </c>
      <c r="G437" s="1">
        <v>46126</v>
      </c>
    </row>
    <row r="438" spans="1:7" x14ac:dyDescent="0.35">
      <c r="A438" t="s">
        <v>472</v>
      </c>
      <c r="B438" t="s">
        <v>55</v>
      </c>
      <c r="C438" t="s">
        <v>25</v>
      </c>
      <c r="D438">
        <v>1</v>
      </c>
      <c r="E438">
        <v>2449.31</v>
      </c>
      <c r="F438" t="s">
        <v>50</v>
      </c>
      <c r="G438" s="1">
        <v>46166</v>
      </c>
    </row>
    <row r="439" spans="1:7" x14ac:dyDescent="0.35">
      <c r="A439" t="s">
        <v>473</v>
      </c>
      <c r="B439" t="s">
        <v>12</v>
      </c>
      <c r="C439" t="s">
        <v>13</v>
      </c>
      <c r="D439">
        <v>3</v>
      </c>
      <c r="E439">
        <v>1515.97</v>
      </c>
      <c r="F439" t="s">
        <v>18</v>
      </c>
      <c r="G439" s="1">
        <v>46121</v>
      </c>
    </row>
    <row r="440" spans="1:7" x14ac:dyDescent="0.35">
      <c r="A440" t="s">
        <v>474</v>
      </c>
      <c r="B440" t="s">
        <v>80</v>
      </c>
      <c r="C440" t="s">
        <v>39</v>
      </c>
      <c r="D440">
        <v>4</v>
      </c>
      <c r="E440">
        <v>4422.1000000000004</v>
      </c>
      <c r="F440" t="s">
        <v>10</v>
      </c>
      <c r="G440" s="1">
        <v>46182</v>
      </c>
    </row>
    <row r="441" spans="1:7" x14ac:dyDescent="0.35">
      <c r="A441" t="s">
        <v>475</v>
      </c>
      <c r="B441" t="s">
        <v>8</v>
      </c>
      <c r="C441" t="s">
        <v>9</v>
      </c>
      <c r="D441">
        <v>5</v>
      </c>
      <c r="E441">
        <v>1662.77</v>
      </c>
      <c r="F441" t="s">
        <v>18</v>
      </c>
      <c r="G441" s="1">
        <v>46123</v>
      </c>
    </row>
    <row r="442" spans="1:7" x14ac:dyDescent="0.35">
      <c r="A442" t="s">
        <v>476</v>
      </c>
      <c r="B442" t="s">
        <v>55</v>
      </c>
      <c r="C442" t="s">
        <v>25</v>
      </c>
      <c r="D442">
        <v>3</v>
      </c>
      <c r="E442">
        <v>2527.9</v>
      </c>
      <c r="F442" t="s">
        <v>32</v>
      </c>
      <c r="G442" s="1">
        <v>46059</v>
      </c>
    </row>
    <row r="443" spans="1:7" x14ac:dyDescent="0.35">
      <c r="A443" t="s">
        <v>477</v>
      </c>
      <c r="B443" t="s">
        <v>12</v>
      </c>
      <c r="C443" t="s">
        <v>13</v>
      </c>
      <c r="D443">
        <v>5</v>
      </c>
      <c r="E443">
        <v>1502.74</v>
      </c>
      <c r="F443" t="s">
        <v>14</v>
      </c>
      <c r="G443" s="1">
        <v>46033</v>
      </c>
    </row>
    <row r="444" spans="1:7" x14ac:dyDescent="0.35">
      <c r="A444" t="s">
        <v>478</v>
      </c>
      <c r="B444" t="s">
        <v>91</v>
      </c>
      <c r="C444" t="s">
        <v>13</v>
      </c>
      <c r="D444">
        <v>1</v>
      </c>
      <c r="E444">
        <v>51007.4</v>
      </c>
      <c r="F444" t="s">
        <v>32</v>
      </c>
      <c r="G444" s="1">
        <v>46144</v>
      </c>
    </row>
    <row r="445" spans="1:7" x14ac:dyDescent="0.35">
      <c r="A445" t="s">
        <v>479</v>
      </c>
      <c r="B445" t="s">
        <v>80</v>
      </c>
      <c r="C445" t="s">
        <v>39</v>
      </c>
      <c r="D445">
        <v>4</v>
      </c>
      <c r="E445">
        <v>3905.11</v>
      </c>
      <c r="F445" t="s">
        <v>14</v>
      </c>
      <c r="G445" s="1">
        <v>46058</v>
      </c>
    </row>
    <row r="446" spans="1:7" x14ac:dyDescent="0.35">
      <c r="A446" t="s">
        <v>480</v>
      </c>
      <c r="B446" t="s">
        <v>55</v>
      </c>
      <c r="C446" t="s">
        <v>25</v>
      </c>
      <c r="D446">
        <v>5</v>
      </c>
      <c r="E446">
        <v>2408.3000000000002</v>
      </c>
      <c r="F446" t="s">
        <v>48</v>
      </c>
      <c r="G446" s="1">
        <v>46180</v>
      </c>
    </row>
    <row r="447" spans="1:7" x14ac:dyDescent="0.35">
      <c r="A447" t="s">
        <v>481</v>
      </c>
      <c r="B447" t="s">
        <v>21</v>
      </c>
      <c r="C447" t="s">
        <v>13</v>
      </c>
      <c r="D447">
        <v>3</v>
      </c>
      <c r="E447">
        <v>28524.86</v>
      </c>
      <c r="F447" t="s">
        <v>14</v>
      </c>
      <c r="G447" s="1">
        <v>46153</v>
      </c>
    </row>
    <row r="448" spans="1:7" x14ac:dyDescent="0.35">
      <c r="A448" t="s">
        <v>482</v>
      </c>
      <c r="B448" t="s">
        <v>80</v>
      </c>
      <c r="C448" t="s">
        <v>39</v>
      </c>
      <c r="D448">
        <v>4</v>
      </c>
      <c r="E448">
        <v>4375.34</v>
      </c>
      <c r="F448" t="s">
        <v>10</v>
      </c>
      <c r="G448" s="1">
        <v>46144</v>
      </c>
    </row>
    <row r="449" spans="1:7" x14ac:dyDescent="0.35">
      <c r="A449" t="s">
        <v>483</v>
      </c>
      <c r="B449" t="s">
        <v>38</v>
      </c>
      <c r="C449" t="s">
        <v>39</v>
      </c>
      <c r="D449">
        <v>1</v>
      </c>
      <c r="E449">
        <v>6328.87</v>
      </c>
      <c r="F449" t="s">
        <v>18</v>
      </c>
      <c r="G449" s="1">
        <v>46129</v>
      </c>
    </row>
    <row r="450" spans="1:7" x14ac:dyDescent="0.35">
      <c r="A450" t="s">
        <v>484</v>
      </c>
      <c r="B450" t="s">
        <v>16</v>
      </c>
      <c r="C450" t="s">
        <v>17</v>
      </c>
      <c r="D450">
        <v>3</v>
      </c>
      <c r="E450">
        <v>476.71</v>
      </c>
      <c r="F450" t="s">
        <v>46</v>
      </c>
      <c r="G450" s="1">
        <v>46175</v>
      </c>
    </row>
    <row r="451" spans="1:7" x14ac:dyDescent="0.35">
      <c r="A451" t="s">
        <v>485</v>
      </c>
      <c r="B451" t="s">
        <v>44</v>
      </c>
      <c r="C451" t="s">
        <v>39</v>
      </c>
      <c r="D451">
        <v>3</v>
      </c>
      <c r="E451">
        <v>3826.95</v>
      </c>
      <c r="F451" t="s">
        <v>50</v>
      </c>
      <c r="G451" s="1">
        <v>46170</v>
      </c>
    </row>
    <row r="452" spans="1:7" x14ac:dyDescent="0.35">
      <c r="A452" t="s">
        <v>486</v>
      </c>
      <c r="B452" t="s">
        <v>12</v>
      </c>
      <c r="C452" t="s">
        <v>13</v>
      </c>
      <c r="D452">
        <v>1</v>
      </c>
      <c r="E452">
        <v>1525.06</v>
      </c>
      <c r="F452" t="s">
        <v>26</v>
      </c>
      <c r="G452" s="1">
        <v>46157</v>
      </c>
    </row>
    <row r="453" spans="1:7" x14ac:dyDescent="0.35">
      <c r="A453" t="s">
        <v>487</v>
      </c>
      <c r="B453" t="s">
        <v>8</v>
      </c>
      <c r="C453" t="s">
        <v>9</v>
      </c>
      <c r="D453">
        <v>5</v>
      </c>
      <c r="E453">
        <v>1898.86</v>
      </c>
      <c r="F453" t="s">
        <v>48</v>
      </c>
      <c r="G453" s="1">
        <v>46060</v>
      </c>
    </row>
    <row r="454" spans="1:7" x14ac:dyDescent="0.35">
      <c r="A454" t="s">
        <v>488</v>
      </c>
      <c r="B454" t="s">
        <v>38</v>
      </c>
      <c r="C454" t="s">
        <v>39</v>
      </c>
      <c r="D454">
        <v>2</v>
      </c>
      <c r="E454">
        <v>5891.04</v>
      </c>
      <c r="F454" t="s">
        <v>18</v>
      </c>
      <c r="G454" s="1">
        <v>46071</v>
      </c>
    </row>
    <row r="455" spans="1:7" x14ac:dyDescent="0.35">
      <c r="A455" t="s">
        <v>489</v>
      </c>
      <c r="B455" t="s">
        <v>91</v>
      </c>
      <c r="C455" t="s">
        <v>13</v>
      </c>
      <c r="D455">
        <v>4</v>
      </c>
      <c r="E455">
        <v>52950.62</v>
      </c>
      <c r="F455" t="s">
        <v>26</v>
      </c>
      <c r="G455" s="1">
        <v>46128</v>
      </c>
    </row>
    <row r="456" spans="1:7" x14ac:dyDescent="0.35">
      <c r="A456" t="s">
        <v>490</v>
      </c>
      <c r="B456" t="s">
        <v>21</v>
      </c>
      <c r="C456" t="s">
        <v>13</v>
      </c>
      <c r="D456">
        <v>2</v>
      </c>
      <c r="E456">
        <v>27498.11</v>
      </c>
      <c r="F456" t="s">
        <v>50</v>
      </c>
      <c r="G456" s="1">
        <v>46143</v>
      </c>
    </row>
    <row r="457" spans="1:7" x14ac:dyDescent="0.35">
      <c r="A457" t="s">
        <v>491</v>
      </c>
      <c r="B457" t="s">
        <v>38</v>
      </c>
      <c r="C457" t="s">
        <v>39</v>
      </c>
      <c r="D457">
        <v>1</v>
      </c>
      <c r="E457">
        <v>6767.51</v>
      </c>
      <c r="F457" t="s">
        <v>14</v>
      </c>
      <c r="G457" s="1">
        <v>46076</v>
      </c>
    </row>
    <row r="458" spans="1:7" x14ac:dyDescent="0.35">
      <c r="A458" t="s">
        <v>492</v>
      </c>
      <c r="B458" t="s">
        <v>80</v>
      </c>
      <c r="C458" t="s">
        <v>39</v>
      </c>
      <c r="D458">
        <v>3</v>
      </c>
      <c r="E458">
        <v>4618.42</v>
      </c>
      <c r="F458" t="s">
        <v>22</v>
      </c>
      <c r="G458" s="1">
        <v>46157</v>
      </c>
    </row>
    <row r="459" spans="1:7" x14ac:dyDescent="0.35">
      <c r="A459" t="s">
        <v>493</v>
      </c>
      <c r="B459" t="s">
        <v>28</v>
      </c>
      <c r="C459" t="s">
        <v>9</v>
      </c>
      <c r="D459">
        <v>3</v>
      </c>
      <c r="E459">
        <v>5455.59</v>
      </c>
      <c r="F459" t="s">
        <v>22</v>
      </c>
      <c r="G459" s="1">
        <v>46159</v>
      </c>
    </row>
    <row r="460" spans="1:7" x14ac:dyDescent="0.35">
      <c r="A460" t="s">
        <v>494</v>
      </c>
      <c r="B460" t="s">
        <v>55</v>
      </c>
      <c r="C460" t="s">
        <v>25</v>
      </c>
      <c r="D460">
        <v>5</v>
      </c>
      <c r="E460">
        <v>2426.17</v>
      </c>
      <c r="F460" t="s">
        <v>10</v>
      </c>
      <c r="G460" s="1">
        <v>46179</v>
      </c>
    </row>
    <row r="461" spans="1:7" x14ac:dyDescent="0.35">
      <c r="A461" t="s">
        <v>495</v>
      </c>
      <c r="B461" t="s">
        <v>44</v>
      </c>
      <c r="C461" t="s">
        <v>39</v>
      </c>
      <c r="D461">
        <v>2</v>
      </c>
      <c r="E461">
        <v>3820.14</v>
      </c>
      <c r="F461" t="s">
        <v>10</v>
      </c>
      <c r="G461" s="1">
        <v>46165</v>
      </c>
    </row>
    <row r="462" spans="1:7" x14ac:dyDescent="0.35">
      <c r="A462" t="s">
        <v>496</v>
      </c>
      <c r="B462" t="s">
        <v>24</v>
      </c>
      <c r="C462" t="s">
        <v>25</v>
      </c>
      <c r="D462">
        <v>2</v>
      </c>
      <c r="E462">
        <v>869.55</v>
      </c>
      <c r="F462" t="s">
        <v>10</v>
      </c>
      <c r="G462" s="1">
        <v>46096</v>
      </c>
    </row>
    <row r="463" spans="1:7" x14ac:dyDescent="0.35">
      <c r="A463" t="s">
        <v>497</v>
      </c>
      <c r="B463" t="s">
        <v>21</v>
      </c>
      <c r="C463" t="s">
        <v>13</v>
      </c>
      <c r="D463">
        <v>2</v>
      </c>
      <c r="E463">
        <v>29065.34</v>
      </c>
      <c r="F463" t="s">
        <v>22</v>
      </c>
      <c r="G463" s="1">
        <v>46104</v>
      </c>
    </row>
    <row r="464" spans="1:7" x14ac:dyDescent="0.35">
      <c r="A464" t="s">
        <v>498</v>
      </c>
      <c r="B464" t="s">
        <v>44</v>
      </c>
      <c r="C464" t="s">
        <v>39</v>
      </c>
      <c r="D464">
        <v>3</v>
      </c>
      <c r="E464">
        <v>3542.34</v>
      </c>
      <c r="F464" t="s">
        <v>10</v>
      </c>
      <c r="G464" s="1">
        <v>46096</v>
      </c>
    </row>
    <row r="465" spans="1:7" x14ac:dyDescent="0.35">
      <c r="A465" t="s">
        <v>499</v>
      </c>
      <c r="B465" t="s">
        <v>31</v>
      </c>
      <c r="C465" t="s">
        <v>13</v>
      </c>
      <c r="D465">
        <v>5</v>
      </c>
      <c r="E465">
        <v>18635.84</v>
      </c>
      <c r="F465" t="s">
        <v>48</v>
      </c>
      <c r="G465" s="1">
        <v>46124</v>
      </c>
    </row>
    <row r="466" spans="1:7" x14ac:dyDescent="0.35">
      <c r="A466" t="s">
        <v>500</v>
      </c>
      <c r="B466" t="s">
        <v>38</v>
      </c>
      <c r="C466" t="s">
        <v>39</v>
      </c>
      <c r="D466">
        <v>3</v>
      </c>
      <c r="E466">
        <v>7090.99</v>
      </c>
      <c r="F466" t="s">
        <v>26</v>
      </c>
      <c r="G466" s="1">
        <v>46097</v>
      </c>
    </row>
    <row r="467" spans="1:7" x14ac:dyDescent="0.35">
      <c r="A467" t="s">
        <v>501</v>
      </c>
      <c r="B467" t="s">
        <v>91</v>
      </c>
      <c r="C467" t="s">
        <v>13</v>
      </c>
      <c r="D467">
        <v>3</v>
      </c>
      <c r="E467">
        <v>60008.45</v>
      </c>
      <c r="F467" t="s">
        <v>18</v>
      </c>
      <c r="G467" s="1">
        <v>46111</v>
      </c>
    </row>
    <row r="468" spans="1:7" x14ac:dyDescent="0.35">
      <c r="A468" t="s">
        <v>502</v>
      </c>
      <c r="B468" t="s">
        <v>44</v>
      </c>
      <c r="C468" t="s">
        <v>39</v>
      </c>
      <c r="D468">
        <v>3</v>
      </c>
      <c r="E468">
        <v>3673.14</v>
      </c>
      <c r="F468" t="s">
        <v>29</v>
      </c>
      <c r="G468" s="1">
        <v>46074</v>
      </c>
    </row>
    <row r="469" spans="1:7" x14ac:dyDescent="0.35">
      <c r="A469" t="s">
        <v>503</v>
      </c>
      <c r="B469" t="s">
        <v>38</v>
      </c>
      <c r="C469" t="s">
        <v>39</v>
      </c>
      <c r="D469">
        <v>5</v>
      </c>
      <c r="E469">
        <v>6202.47</v>
      </c>
      <c r="F469" t="s">
        <v>14</v>
      </c>
      <c r="G469" s="1">
        <v>46201</v>
      </c>
    </row>
    <row r="470" spans="1:7" x14ac:dyDescent="0.35">
      <c r="A470" t="s">
        <v>504</v>
      </c>
      <c r="B470" t="s">
        <v>24</v>
      </c>
      <c r="C470" t="s">
        <v>25</v>
      </c>
      <c r="D470">
        <v>2</v>
      </c>
      <c r="E470">
        <v>736.55</v>
      </c>
      <c r="F470" t="s">
        <v>50</v>
      </c>
      <c r="G470" s="1">
        <v>46084</v>
      </c>
    </row>
    <row r="471" spans="1:7" x14ac:dyDescent="0.35">
      <c r="A471" t="s">
        <v>505</v>
      </c>
      <c r="B471" t="s">
        <v>12</v>
      </c>
      <c r="C471" t="s">
        <v>13</v>
      </c>
      <c r="D471">
        <v>1</v>
      </c>
      <c r="E471">
        <v>1550.95</v>
      </c>
      <c r="F471" t="s">
        <v>14</v>
      </c>
      <c r="G471" s="1">
        <v>46080</v>
      </c>
    </row>
    <row r="472" spans="1:7" x14ac:dyDescent="0.35">
      <c r="A472" t="s">
        <v>506</v>
      </c>
      <c r="B472" t="s">
        <v>8</v>
      </c>
      <c r="C472" t="s">
        <v>9</v>
      </c>
      <c r="D472">
        <v>2</v>
      </c>
      <c r="E472">
        <v>1638.9</v>
      </c>
      <c r="F472" t="s">
        <v>48</v>
      </c>
      <c r="G472" s="1">
        <v>46107</v>
      </c>
    </row>
    <row r="473" spans="1:7" x14ac:dyDescent="0.35">
      <c r="A473" t="s">
        <v>507</v>
      </c>
      <c r="B473" t="s">
        <v>21</v>
      </c>
      <c r="C473" t="s">
        <v>13</v>
      </c>
      <c r="D473">
        <v>4</v>
      </c>
      <c r="E473">
        <v>25763.05</v>
      </c>
      <c r="F473" t="s">
        <v>26</v>
      </c>
      <c r="G473" s="1">
        <v>46024</v>
      </c>
    </row>
    <row r="474" spans="1:7" x14ac:dyDescent="0.35">
      <c r="A474" t="s">
        <v>508</v>
      </c>
      <c r="B474" t="s">
        <v>80</v>
      </c>
      <c r="C474" t="s">
        <v>39</v>
      </c>
      <c r="D474">
        <v>2</v>
      </c>
      <c r="E474">
        <v>4121.8</v>
      </c>
      <c r="F474" t="s">
        <v>22</v>
      </c>
      <c r="G474" s="1">
        <v>46145</v>
      </c>
    </row>
    <row r="475" spans="1:7" x14ac:dyDescent="0.35">
      <c r="A475" t="s">
        <v>509</v>
      </c>
      <c r="B475" t="s">
        <v>8</v>
      </c>
      <c r="C475" t="s">
        <v>9</v>
      </c>
      <c r="D475">
        <v>2</v>
      </c>
      <c r="E475">
        <v>1892.13</v>
      </c>
      <c r="F475" t="s">
        <v>10</v>
      </c>
      <c r="G475" s="1">
        <v>46105</v>
      </c>
    </row>
    <row r="476" spans="1:7" x14ac:dyDescent="0.35">
      <c r="A476" t="s">
        <v>510</v>
      </c>
      <c r="B476" t="s">
        <v>24</v>
      </c>
      <c r="C476" t="s">
        <v>25</v>
      </c>
      <c r="D476">
        <v>1</v>
      </c>
      <c r="E476">
        <v>864.19</v>
      </c>
      <c r="F476" t="s">
        <v>18</v>
      </c>
      <c r="G476" s="1">
        <v>46189</v>
      </c>
    </row>
    <row r="477" spans="1:7" x14ac:dyDescent="0.35">
      <c r="A477" t="s">
        <v>511</v>
      </c>
      <c r="B477" t="s">
        <v>16</v>
      </c>
      <c r="C477" t="s">
        <v>17</v>
      </c>
      <c r="D477">
        <v>2</v>
      </c>
      <c r="E477">
        <v>453.16</v>
      </c>
      <c r="F477" t="s">
        <v>46</v>
      </c>
      <c r="G477" s="1">
        <v>46067</v>
      </c>
    </row>
    <row r="478" spans="1:7" x14ac:dyDescent="0.35">
      <c r="A478" t="s">
        <v>512</v>
      </c>
      <c r="B478" t="s">
        <v>28</v>
      </c>
      <c r="C478" t="s">
        <v>9</v>
      </c>
      <c r="D478">
        <v>2</v>
      </c>
      <c r="E478">
        <v>5432.84</v>
      </c>
      <c r="F478" t="s">
        <v>46</v>
      </c>
      <c r="G478" s="1">
        <v>46124</v>
      </c>
    </row>
    <row r="479" spans="1:7" x14ac:dyDescent="0.35">
      <c r="A479" t="s">
        <v>513</v>
      </c>
      <c r="B479" t="s">
        <v>62</v>
      </c>
      <c r="C479" t="s">
        <v>25</v>
      </c>
      <c r="D479">
        <v>4</v>
      </c>
      <c r="E479">
        <v>1873.59</v>
      </c>
      <c r="F479" t="s">
        <v>10</v>
      </c>
      <c r="G479" s="1">
        <v>46032</v>
      </c>
    </row>
    <row r="480" spans="1:7" x14ac:dyDescent="0.35">
      <c r="A480" t="s">
        <v>514</v>
      </c>
      <c r="B480" t="s">
        <v>91</v>
      </c>
      <c r="C480" t="s">
        <v>13</v>
      </c>
      <c r="D480">
        <v>3</v>
      </c>
      <c r="E480">
        <v>55747.58</v>
      </c>
      <c r="F480" t="s">
        <v>18</v>
      </c>
      <c r="G480" s="1">
        <v>46108</v>
      </c>
    </row>
    <row r="481" spans="1:7" x14ac:dyDescent="0.35">
      <c r="A481" t="s">
        <v>515</v>
      </c>
      <c r="B481" t="s">
        <v>24</v>
      </c>
      <c r="C481" t="s">
        <v>25</v>
      </c>
      <c r="D481">
        <v>4</v>
      </c>
      <c r="E481">
        <v>877.16</v>
      </c>
      <c r="F481" t="s">
        <v>14</v>
      </c>
      <c r="G481" s="1">
        <v>46157</v>
      </c>
    </row>
    <row r="482" spans="1:7" x14ac:dyDescent="0.35">
      <c r="A482" t="s">
        <v>516</v>
      </c>
      <c r="B482" t="s">
        <v>44</v>
      </c>
      <c r="C482" t="s">
        <v>39</v>
      </c>
      <c r="D482">
        <v>2</v>
      </c>
      <c r="E482">
        <v>3745.74</v>
      </c>
      <c r="F482" t="s">
        <v>22</v>
      </c>
      <c r="G482" s="1">
        <v>46092</v>
      </c>
    </row>
    <row r="483" spans="1:7" x14ac:dyDescent="0.35">
      <c r="A483" t="s">
        <v>517</v>
      </c>
      <c r="B483" t="s">
        <v>12</v>
      </c>
      <c r="C483" t="s">
        <v>13</v>
      </c>
      <c r="D483">
        <v>1</v>
      </c>
      <c r="E483">
        <v>1449.21</v>
      </c>
      <c r="F483" t="s">
        <v>22</v>
      </c>
      <c r="G483" s="1">
        <v>46188</v>
      </c>
    </row>
    <row r="484" spans="1:7" x14ac:dyDescent="0.35">
      <c r="A484" t="s">
        <v>518</v>
      </c>
      <c r="B484" t="s">
        <v>24</v>
      </c>
      <c r="C484" t="s">
        <v>25</v>
      </c>
      <c r="D484">
        <v>2</v>
      </c>
      <c r="E484">
        <v>721.35</v>
      </c>
      <c r="F484" t="s">
        <v>32</v>
      </c>
      <c r="G484" s="1">
        <v>46098</v>
      </c>
    </row>
    <row r="485" spans="1:7" x14ac:dyDescent="0.35">
      <c r="A485" t="s">
        <v>519</v>
      </c>
      <c r="B485" t="s">
        <v>16</v>
      </c>
      <c r="C485" t="s">
        <v>17</v>
      </c>
      <c r="D485">
        <v>2</v>
      </c>
      <c r="E485">
        <v>420.79</v>
      </c>
      <c r="F485" t="s">
        <v>48</v>
      </c>
      <c r="G485" s="1">
        <v>46132</v>
      </c>
    </row>
    <row r="486" spans="1:7" x14ac:dyDescent="0.35">
      <c r="A486" t="s">
        <v>520</v>
      </c>
      <c r="B486" t="s">
        <v>80</v>
      </c>
      <c r="C486" t="s">
        <v>39</v>
      </c>
      <c r="D486">
        <v>3</v>
      </c>
      <c r="E486">
        <v>3852.86</v>
      </c>
      <c r="F486" t="s">
        <v>18</v>
      </c>
      <c r="G486" s="1">
        <v>46070</v>
      </c>
    </row>
    <row r="487" spans="1:7" x14ac:dyDescent="0.35">
      <c r="A487" t="s">
        <v>521</v>
      </c>
      <c r="B487" t="s">
        <v>72</v>
      </c>
      <c r="C487" t="s">
        <v>13</v>
      </c>
      <c r="D487">
        <v>4</v>
      </c>
      <c r="E487">
        <v>2122.38</v>
      </c>
      <c r="F487" t="s">
        <v>29</v>
      </c>
      <c r="G487" s="1">
        <v>46024</v>
      </c>
    </row>
    <row r="488" spans="1:7" x14ac:dyDescent="0.35">
      <c r="A488" t="s">
        <v>522</v>
      </c>
      <c r="B488" t="s">
        <v>24</v>
      </c>
      <c r="C488" t="s">
        <v>25</v>
      </c>
      <c r="D488">
        <v>4</v>
      </c>
      <c r="E488">
        <v>756.74</v>
      </c>
      <c r="F488" t="s">
        <v>10</v>
      </c>
      <c r="G488" s="1">
        <v>46107</v>
      </c>
    </row>
    <row r="489" spans="1:7" x14ac:dyDescent="0.35">
      <c r="A489" t="s">
        <v>523</v>
      </c>
      <c r="B489" t="s">
        <v>24</v>
      </c>
      <c r="C489" t="s">
        <v>25</v>
      </c>
      <c r="D489">
        <v>5</v>
      </c>
      <c r="E489">
        <v>834.62</v>
      </c>
      <c r="F489" t="s">
        <v>46</v>
      </c>
      <c r="G489" s="1">
        <v>46089</v>
      </c>
    </row>
    <row r="490" spans="1:7" x14ac:dyDescent="0.35">
      <c r="A490" t="s">
        <v>524</v>
      </c>
      <c r="B490" t="s">
        <v>8</v>
      </c>
      <c r="C490" t="s">
        <v>9</v>
      </c>
      <c r="D490">
        <v>3</v>
      </c>
      <c r="E490">
        <v>1869.4</v>
      </c>
      <c r="F490" t="s">
        <v>46</v>
      </c>
      <c r="G490" s="1">
        <v>46193</v>
      </c>
    </row>
    <row r="491" spans="1:7" x14ac:dyDescent="0.35">
      <c r="A491" t="s">
        <v>525</v>
      </c>
      <c r="B491" t="s">
        <v>31</v>
      </c>
      <c r="C491" t="s">
        <v>13</v>
      </c>
      <c r="D491">
        <v>4</v>
      </c>
      <c r="E491">
        <v>17304.5</v>
      </c>
      <c r="F491" t="s">
        <v>48</v>
      </c>
      <c r="G491" s="1">
        <v>46198</v>
      </c>
    </row>
    <row r="492" spans="1:7" x14ac:dyDescent="0.35">
      <c r="A492" t="s">
        <v>526</v>
      </c>
      <c r="B492" t="s">
        <v>80</v>
      </c>
      <c r="C492" t="s">
        <v>39</v>
      </c>
      <c r="D492">
        <v>3</v>
      </c>
      <c r="E492">
        <v>4359.84</v>
      </c>
      <c r="F492" t="s">
        <v>10</v>
      </c>
      <c r="G492" s="1">
        <v>46117</v>
      </c>
    </row>
    <row r="493" spans="1:7" x14ac:dyDescent="0.35">
      <c r="A493" t="s">
        <v>527</v>
      </c>
      <c r="B493" t="s">
        <v>16</v>
      </c>
      <c r="C493" t="s">
        <v>17</v>
      </c>
      <c r="D493">
        <v>2</v>
      </c>
      <c r="E493">
        <v>424.72</v>
      </c>
      <c r="F493" t="s">
        <v>26</v>
      </c>
      <c r="G493" s="1">
        <v>46145</v>
      </c>
    </row>
    <row r="494" spans="1:7" x14ac:dyDescent="0.35">
      <c r="A494" t="s">
        <v>528</v>
      </c>
      <c r="B494" t="s">
        <v>72</v>
      </c>
      <c r="C494" t="s">
        <v>13</v>
      </c>
      <c r="D494">
        <v>4</v>
      </c>
      <c r="E494">
        <v>2309</v>
      </c>
      <c r="F494" t="s">
        <v>50</v>
      </c>
      <c r="G494" s="1">
        <v>46118</v>
      </c>
    </row>
    <row r="495" spans="1:7" x14ac:dyDescent="0.35">
      <c r="A495" t="s">
        <v>529</v>
      </c>
      <c r="B495" t="s">
        <v>28</v>
      </c>
      <c r="C495" t="s">
        <v>9</v>
      </c>
      <c r="D495">
        <v>5</v>
      </c>
      <c r="E495">
        <v>5411.71</v>
      </c>
      <c r="F495" t="s">
        <v>14</v>
      </c>
      <c r="G495" s="1">
        <v>46193</v>
      </c>
    </row>
    <row r="496" spans="1:7" x14ac:dyDescent="0.35">
      <c r="A496" t="s">
        <v>530</v>
      </c>
      <c r="B496" t="s">
        <v>38</v>
      </c>
      <c r="C496" t="s">
        <v>39</v>
      </c>
      <c r="D496">
        <v>2</v>
      </c>
      <c r="E496">
        <v>6840.42</v>
      </c>
      <c r="F496" t="s">
        <v>50</v>
      </c>
      <c r="G496" s="1">
        <v>46043</v>
      </c>
    </row>
    <row r="497" spans="1:7" x14ac:dyDescent="0.35">
      <c r="A497" t="s">
        <v>531</v>
      </c>
      <c r="B497" t="s">
        <v>80</v>
      </c>
      <c r="C497" t="s">
        <v>39</v>
      </c>
      <c r="D497">
        <v>4</v>
      </c>
      <c r="E497">
        <v>4223.67</v>
      </c>
      <c r="F497" t="s">
        <v>32</v>
      </c>
      <c r="G497" s="1">
        <v>46042</v>
      </c>
    </row>
    <row r="498" spans="1:7" x14ac:dyDescent="0.35">
      <c r="A498" t="s">
        <v>532</v>
      </c>
      <c r="B498" t="s">
        <v>16</v>
      </c>
      <c r="C498" t="s">
        <v>17</v>
      </c>
      <c r="D498">
        <v>1</v>
      </c>
      <c r="E498">
        <v>410.56</v>
      </c>
      <c r="F498" t="s">
        <v>14</v>
      </c>
      <c r="G498" s="1">
        <v>46152</v>
      </c>
    </row>
    <row r="499" spans="1:7" x14ac:dyDescent="0.35">
      <c r="A499" t="s">
        <v>533</v>
      </c>
      <c r="B499" t="s">
        <v>12</v>
      </c>
      <c r="C499" t="s">
        <v>13</v>
      </c>
      <c r="D499">
        <v>5</v>
      </c>
      <c r="E499">
        <v>1511</v>
      </c>
      <c r="F499" t="s">
        <v>26</v>
      </c>
      <c r="G499" s="1">
        <v>46106</v>
      </c>
    </row>
    <row r="500" spans="1:7" x14ac:dyDescent="0.35">
      <c r="A500" t="s">
        <v>534</v>
      </c>
      <c r="B500" t="s">
        <v>38</v>
      </c>
      <c r="C500" t="s">
        <v>39</v>
      </c>
      <c r="D500">
        <v>5</v>
      </c>
      <c r="E500">
        <v>6424.39</v>
      </c>
      <c r="F500" t="s">
        <v>29</v>
      </c>
      <c r="G500" s="1">
        <v>46172</v>
      </c>
    </row>
    <row r="501" spans="1:7" x14ac:dyDescent="0.35">
      <c r="A501" t="s">
        <v>535</v>
      </c>
      <c r="B501" t="s">
        <v>44</v>
      </c>
      <c r="C501" t="s">
        <v>39</v>
      </c>
      <c r="D501">
        <v>1</v>
      </c>
      <c r="E501">
        <v>3779.22</v>
      </c>
      <c r="F501" t="s">
        <v>22</v>
      </c>
      <c r="G501" s="1">
        <v>46037</v>
      </c>
    </row>
    <row r="502" spans="1:7" x14ac:dyDescent="0.35">
      <c r="A502" t="s">
        <v>536</v>
      </c>
      <c r="B502" t="s">
        <v>44</v>
      </c>
      <c r="C502" t="s">
        <v>39</v>
      </c>
      <c r="D502">
        <v>2</v>
      </c>
      <c r="E502">
        <v>3509.27</v>
      </c>
      <c r="F502" t="s">
        <v>22</v>
      </c>
      <c r="G502" s="1">
        <v>46167</v>
      </c>
    </row>
    <row r="503" spans="1:7" x14ac:dyDescent="0.35">
      <c r="A503" t="s">
        <v>537</v>
      </c>
      <c r="B503" t="s">
        <v>91</v>
      </c>
      <c r="C503" t="s">
        <v>13</v>
      </c>
      <c r="D503">
        <v>5</v>
      </c>
      <c r="E503">
        <v>54586.16</v>
      </c>
      <c r="F503" t="s">
        <v>10</v>
      </c>
      <c r="G503" s="1">
        <v>46028</v>
      </c>
    </row>
    <row r="504" spans="1:7" x14ac:dyDescent="0.35">
      <c r="A504" t="s">
        <v>538</v>
      </c>
      <c r="B504" t="s">
        <v>28</v>
      </c>
      <c r="C504" t="s">
        <v>9</v>
      </c>
      <c r="D504">
        <v>3</v>
      </c>
      <c r="E504">
        <v>5315.39</v>
      </c>
      <c r="F504" t="s">
        <v>29</v>
      </c>
      <c r="G504" s="1">
        <v>46171</v>
      </c>
    </row>
    <row r="505" spans="1:7" x14ac:dyDescent="0.35">
      <c r="A505" t="s">
        <v>539</v>
      </c>
      <c r="B505" t="s">
        <v>31</v>
      </c>
      <c r="C505" t="s">
        <v>13</v>
      </c>
      <c r="D505">
        <v>1</v>
      </c>
      <c r="E505">
        <v>17725.310000000001</v>
      </c>
      <c r="F505" t="s">
        <v>18</v>
      </c>
      <c r="G505" s="1">
        <v>46161</v>
      </c>
    </row>
    <row r="506" spans="1:7" x14ac:dyDescent="0.35">
      <c r="A506" t="s">
        <v>540</v>
      </c>
      <c r="B506" t="s">
        <v>91</v>
      </c>
      <c r="C506" t="s">
        <v>13</v>
      </c>
      <c r="D506">
        <v>1</v>
      </c>
      <c r="E506">
        <v>60347.51</v>
      </c>
      <c r="F506" t="s">
        <v>22</v>
      </c>
      <c r="G506" s="1">
        <v>46031</v>
      </c>
    </row>
    <row r="507" spans="1:7" x14ac:dyDescent="0.35">
      <c r="A507" t="s">
        <v>541</v>
      </c>
      <c r="B507" t="s">
        <v>24</v>
      </c>
      <c r="C507" t="s">
        <v>25</v>
      </c>
      <c r="D507">
        <v>4</v>
      </c>
      <c r="E507">
        <v>747.86</v>
      </c>
      <c r="F507" t="s">
        <v>26</v>
      </c>
      <c r="G507" s="1">
        <v>46187</v>
      </c>
    </row>
    <row r="508" spans="1:7" x14ac:dyDescent="0.35">
      <c r="A508" t="s">
        <v>542</v>
      </c>
      <c r="B508" t="s">
        <v>21</v>
      </c>
      <c r="C508" t="s">
        <v>13</v>
      </c>
      <c r="D508">
        <v>4</v>
      </c>
      <c r="E508">
        <v>27296.98</v>
      </c>
      <c r="F508" t="s">
        <v>48</v>
      </c>
      <c r="G508" s="1">
        <v>46137</v>
      </c>
    </row>
    <row r="509" spans="1:7" x14ac:dyDescent="0.35">
      <c r="A509" t="s">
        <v>543</v>
      </c>
      <c r="B509" t="s">
        <v>38</v>
      </c>
      <c r="C509" t="s">
        <v>39</v>
      </c>
      <c r="D509">
        <v>4</v>
      </c>
      <c r="E509">
        <v>6338.34</v>
      </c>
      <c r="F509" t="s">
        <v>14</v>
      </c>
      <c r="G509" s="1">
        <v>46057</v>
      </c>
    </row>
    <row r="510" spans="1:7" x14ac:dyDescent="0.35">
      <c r="A510" t="s">
        <v>544</v>
      </c>
      <c r="B510" t="s">
        <v>8</v>
      </c>
      <c r="C510" t="s">
        <v>9</v>
      </c>
      <c r="D510">
        <v>3</v>
      </c>
      <c r="E510">
        <v>1662.71</v>
      </c>
      <c r="F510" t="s">
        <v>14</v>
      </c>
      <c r="G510" s="1">
        <v>46123</v>
      </c>
    </row>
    <row r="511" spans="1:7" x14ac:dyDescent="0.35">
      <c r="A511" t="s">
        <v>545</v>
      </c>
      <c r="B511" t="s">
        <v>80</v>
      </c>
      <c r="C511" t="s">
        <v>39</v>
      </c>
      <c r="D511">
        <v>2</v>
      </c>
      <c r="E511">
        <v>4391.3999999999996</v>
      </c>
      <c r="F511" t="s">
        <v>29</v>
      </c>
      <c r="G511" s="1">
        <v>46023</v>
      </c>
    </row>
    <row r="512" spans="1:7" x14ac:dyDescent="0.35">
      <c r="A512" t="s">
        <v>546</v>
      </c>
      <c r="B512" t="s">
        <v>62</v>
      </c>
      <c r="C512" t="s">
        <v>25</v>
      </c>
      <c r="D512">
        <v>1</v>
      </c>
      <c r="E512">
        <v>2190.3000000000002</v>
      </c>
      <c r="F512" t="s">
        <v>22</v>
      </c>
      <c r="G512" s="1">
        <v>46195</v>
      </c>
    </row>
    <row r="513" spans="1:7" x14ac:dyDescent="0.35">
      <c r="A513" t="s">
        <v>547</v>
      </c>
      <c r="B513" t="s">
        <v>21</v>
      </c>
      <c r="C513" t="s">
        <v>13</v>
      </c>
      <c r="D513">
        <v>5</v>
      </c>
      <c r="E513">
        <v>27575.119999999999</v>
      </c>
      <c r="F513" t="s">
        <v>48</v>
      </c>
      <c r="G513" s="1">
        <v>46081</v>
      </c>
    </row>
    <row r="514" spans="1:7" x14ac:dyDescent="0.35">
      <c r="A514" t="s">
        <v>548</v>
      </c>
      <c r="B514" t="s">
        <v>12</v>
      </c>
      <c r="C514" t="s">
        <v>13</v>
      </c>
      <c r="D514">
        <v>4</v>
      </c>
      <c r="E514">
        <v>1453.85</v>
      </c>
      <c r="F514" t="s">
        <v>10</v>
      </c>
      <c r="G514" s="1">
        <v>46071</v>
      </c>
    </row>
    <row r="515" spans="1:7" x14ac:dyDescent="0.35">
      <c r="A515" t="s">
        <v>549</v>
      </c>
      <c r="B515" t="s">
        <v>21</v>
      </c>
      <c r="C515" t="s">
        <v>13</v>
      </c>
      <c r="D515">
        <v>1</v>
      </c>
      <c r="E515">
        <v>25380.42</v>
      </c>
      <c r="F515" t="s">
        <v>48</v>
      </c>
      <c r="G515" s="1">
        <v>46180</v>
      </c>
    </row>
    <row r="516" spans="1:7" x14ac:dyDescent="0.35">
      <c r="A516" t="s">
        <v>550</v>
      </c>
      <c r="B516" t="s">
        <v>62</v>
      </c>
      <c r="C516" t="s">
        <v>25</v>
      </c>
      <c r="D516">
        <v>1</v>
      </c>
      <c r="E516">
        <v>1895.32</v>
      </c>
      <c r="F516" t="s">
        <v>18</v>
      </c>
      <c r="G516" s="1">
        <v>46048</v>
      </c>
    </row>
    <row r="517" spans="1:7" x14ac:dyDescent="0.35">
      <c r="A517" t="s">
        <v>551</v>
      </c>
      <c r="B517" t="s">
        <v>16</v>
      </c>
      <c r="C517" t="s">
        <v>17</v>
      </c>
      <c r="D517">
        <v>1</v>
      </c>
      <c r="E517">
        <v>445.18</v>
      </c>
      <c r="F517" t="s">
        <v>46</v>
      </c>
      <c r="G517" s="1">
        <v>46085</v>
      </c>
    </row>
    <row r="518" spans="1:7" x14ac:dyDescent="0.35">
      <c r="A518" t="s">
        <v>552</v>
      </c>
      <c r="B518" t="s">
        <v>21</v>
      </c>
      <c r="C518" t="s">
        <v>13</v>
      </c>
      <c r="D518">
        <v>1</v>
      </c>
      <c r="E518">
        <v>27452.69</v>
      </c>
      <c r="F518" t="s">
        <v>29</v>
      </c>
      <c r="G518" s="1">
        <v>46161</v>
      </c>
    </row>
    <row r="519" spans="1:7" x14ac:dyDescent="0.35">
      <c r="A519" t="s">
        <v>553</v>
      </c>
      <c r="B519" t="s">
        <v>12</v>
      </c>
      <c r="C519" t="s">
        <v>13</v>
      </c>
      <c r="D519">
        <v>1</v>
      </c>
      <c r="E519">
        <v>1392.04</v>
      </c>
      <c r="F519" t="s">
        <v>10</v>
      </c>
      <c r="G519" s="1">
        <v>46082</v>
      </c>
    </row>
    <row r="520" spans="1:7" x14ac:dyDescent="0.35">
      <c r="A520" t="s">
        <v>554</v>
      </c>
      <c r="B520" t="s">
        <v>38</v>
      </c>
      <c r="C520" t="s">
        <v>39</v>
      </c>
      <c r="D520">
        <v>5</v>
      </c>
      <c r="E520">
        <v>6264.57</v>
      </c>
      <c r="F520" t="s">
        <v>50</v>
      </c>
      <c r="G520" s="1">
        <v>46195</v>
      </c>
    </row>
    <row r="521" spans="1:7" x14ac:dyDescent="0.35">
      <c r="A521" t="s">
        <v>555</v>
      </c>
      <c r="B521" t="s">
        <v>38</v>
      </c>
      <c r="C521" t="s">
        <v>39</v>
      </c>
      <c r="D521">
        <v>3</v>
      </c>
      <c r="E521">
        <v>6157.98</v>
      </c>
      <c r="F521" t="s">
        <v>26</v>
      </c>
      <c r="G521" s="1">
        <v>46192</v>
      </c>
    </row>
    <row r="522" spans="1:7" x14ac:dyDescent="0.35">
      <c r="A522" t="s">
        <v>556</v>
      </c>
      <c r="B522" t="s">
        <v>80</v>
      </c>
      <c r="C522" t="s">
        <v>39</v>
      </c>
      <c r="D522">
        <v>2</v>
      </c>
      <c r="E522">
        <v>4127.3900000000003</v>
      </c>
      <c r="F522" t="s">
        <v>10</v>
      </c>
      <c r="G522" s="1">
        <v>46038</v>
      </c>
    </row>
    <row r="523" spans="1:7" x14ac:dyDescent="0.35">
      <c r="A523" t="s">
        <v>557</v>
      </c>
      <c r="B523" t="s">
        <v>80</v>
      </c>
      <c r="C523" t="s">
        <v>39</v>
      </c>
      <c r="D523">
        <v>5</v>
      </c>
      <c r="E523">
        <v>4518.96</v>
      </c>
      <c r="F523" t="s">
        <v>26</v>
      </c>
      <c r="G523" s="1">
        <v>46183</v>
      </c>
    </row>
    <row r="524" spans="1:7" x14ac:dyDescent="0.35">
      <c r="A524" t="s">
        <v>558</v>
      </c>
      <c r="B524" t="s">
        <v>8</v>
      </c>
      <c r="C524" t="s">
        <v>9</v>
      </c>
      <c r="D524">
        <v>4</v>
      </c>
      <c r="E524">
        <v>1820.11</v>
      </c>
      <c r="F524" t="s">
        <v>46</v>
      </c>
      <c r="G524" s="1">
        <v>46111</v>
      </c>
    </row>
    <row r="525" spans="1:7" x14ac:dyDescent="0.35">
      <c r="A525" t="s">
        <v>559</v>
      </c>
      <c r="B525" t="s">
        <v>8</v>
      </c>
      <c r="C525" t="s">
        <v>9</v>
      </c>
      <c r="D525">
        <v>4</v>
      </c>
      <c r="E525">
        <v>1902.89</v>
      </c>
      <c r="F525" t="s">
        <v>32</v>
      </c>
      <c r="G525" s="1">
        <v>46201</v>
      </c>
    </row>
    <row r="526" spans="1:7" x14ac:dyDescent="0.35">
      <c r="A526" t="s">
        <v>560</v>
      </c>
      <c r="B526" t="s">
        <v>28</v>
      </c>
      <c r="C526" t="s">
        <v>9</v>
      </c>
      <c r="D526">
        <v>4</v>
      </c>
      <c r="E526">
        <v>4648.29</v>
      </c>
      <c r="F526" t="s">
        <v>48</v>
      </c>
      <c r="G526" s="1">
        <v>46070</v>
      </c>
    </row>
    <row r="527" spans="1:7" x14ac:dyDescent="0.35">
      <c r="A527" t="s">
        <v>561</v>
      </c>
      <c r="B527" t="s">
        <v>62</v>
      </c>
      <c r="C527" t="s">
        <v>25</v>
      </c>
      <c r="D527">
        <v>5</v>
      </c>
      <c r="E527">
        <v>1988.41</v>
      </c>
      <c r="F527" t="s">
        <v>29</v>
      </c>
      <c r="G527" s="1">
        <v>46099</v>
      </c>
    </row>
    <row r="528" spans="1:7" x14ac:dyDescent="0.35">
      <c r="A528" t="s">
        <v>562</v>
      </c>
      <c r="B528" t="s">
        <v>38</v>
      </c>
      <c r="C528" t="s">
        <v>39</v>
      </c>
      <c r="D528">
        <v>2</v>
      </c>
      <c r="E528">
        <v>6897.51</v>
      </c>
      <c r="F528" t="s">
        <v>46</v>
      </c>
      <c r="G528" s="1">
        <v>46166</v>
      </c>
    </row>
    <row r="529" spans="1:7" x14ac:dyDescent="0.35">
      <c r="A529" t="s">
        <v>563</v>
      </c>
      <c r="B529" t="s">
        <v>28</v>
      </c>
      <c r="C529" t="s">
        <v>9</v>
      </c>
      <c r="D529">
        <v>4</v>
      </c>
      <c r="E529">
        <v>5056.28</v>
      </c>
      <c r="F529" t="s">
        <v>26</v>
      </c>
      <c r="G529" s="1">
        <v>46122</v>
      </c>
    </row>
    <row r="530" spans="1:7" x14ac:dyDescent="0.35">
      <c r="A530" t="s">
        <v>564</v>
      </c>
      <c r="B530" t="s">
        <v>12</v>
      </c>
      <c r="C530" t="s">
        <v>13</v>
      </c>
      <c r="D530">
        <v>3</v>
      </c>
      <c r="E530">
        <v>1411</v>
      </c>
      <c r="F530" t="s">
        <v>18</v>
      </c>
      <c r="G530" s="1">
        <v>46138</v>
      </c>
    </row>
    <row r="531" spans="1:7" x14ac:dyDescent="0.35">
      <c r="A531" t="s">
        <v>565</v>
      </c>
      <c r="B531" t="s">
        <v>38</v>
      </c>
      <c r="C531" t="s">
        <v>39</v>
      </c>
      <c r="D531">
        <v>3</v>
      </c>
      <c r="E531">
        <v>5970.2</v>
      </c>
      <c r="F531" t="s">
        <v>29</v>
      </c>
      <c r="G531" s="1">
        <v>46036</v>
      </c>
    </row>
    <row r="532" spans="1:7" x14ac:dyDescent="0.35">
      <c r="A532" t="s">
        <v>566</v>
      </c>
      <c r="B532" t="s">
        <v>24</v>
      </c>
      <c r="C532" t="s">
        <v>25</v>
      </c>
      <c r="D532">
        <v>4</v>
      </c>
      <c r="E532">
        <v>826.75</v>
      </c>
      <c r="F532" t="s">
        <v>50</v>
      </c>
      <c r="G532" s="1">
        <v>46033</v>
      </c>
    </row>
    <row r="533" spans="1:7" x14ac:dyDescent="0.35">
      <c r="A533" t="s">
        <v>567</v>
      </c>
      <c r="B533" t="s">
        <v>38</v>
      </c>
      <c r="C533" t="s">
        <v>39</v>
      </c>
      <c r="D533">
        <v>1</v>
      </c>
      <c r="E533">
        <v>6094.61</v>
      </c>
      <c r="F533" t="s">
        <v>50</v>
      </c>
      <c r="G533" s="1">
        <v>46194</v>
      </c>
    </row>
    <row r="534" spans="1:7" x14ac:dyDescent="0.35">
      <c r="A534" t="s">
        <v>568</v>
      </c>
      <c r="B534" t="s">
        <v>80</v>
      </c>
      <c r="C534" t="s">
        <v>39</v>
      </c>
      <c r="D534">
        <v>2</v>
      </c>
      <c r="E534">
        <v>4182.6899999999996</v>
      </c>
      <c r="F534" t="s">
        <v>32</v>
      </c>
      <c r="G534" s="1">
        <v>46100</v>
      </c>
    </row>
    <row r="535" spans="1:7" x14ac:dyDescent="0.35">
      <c r="A535" t="s">
        <v>569</v>
      </c>
      <c r="B535" t="s">
        <v>91</v>
      </c>
      <c r="C535" t="s">
        <v>13</v>
      </c>
      <c r="D535">
        <v>2</v>
      </c>
      <c r="E535">
        <v>59808.76</v>
      </c>
      <c r="F535" t="s">
        <v>18</v>
      </c>
      <c r="G535" s="1">
        <v>46145</v>
      </c>
    </row>
    <row r="536" spans="1:7" x14ac:dyDescent="0.35">
      <c r="A536" t="s">
        <v>570</v>
      </c>
      <c r="B536" t="s">
        <v>12</v>
      </c>
      <c r="C536" t="s">
        <v>13</v>
      </c>
      <c r="D536">
        <v>5</v>
      </c>
      <c r="E536">
        <v>1561.13</v>
      </c>
      <c r="F536" t="s">
        <v>48</v>
      </c>
      <c r="G536" s="1">
        <v>46084</v>
      </c>
    </row>
    <row r="537" spans="1:7" x14ac:dyDescent="0.35">
      <c r="A537" t="s">
        <v>571</v>
      </c>
      <c r="B537" t="s">
        <v>80</v>
      </c>
      <c r="C537" t="s">
        <v>39</v>
      </c>
      <c r="D537">
        <v>3</v>
      </c>
      <c r="E537">
        <v>4431.43</v>
      </c>
      <c r="F537" t="s">
        <v>48</v>
      </c>
      <c r="G537" s="1">
        <v>46142</v>
      </c>
    </row>
    <row r="538" spans="1:7" x14ac:dyDescent="0.35">
      <c r="A538" t="s">
        <v>572</v>
      </c>
      <c r="B538" t="s">
        <v>80</v>
      </c>
      <c r="C538" t="s">
        <v>39</v>
      </c>
      <c r="D538">
        <v>3</v>
      </c>
      <c r="E538">
        <v>4039.07</v>
      </c>
      <c r="F538" t="s">
        <v>32</v>
      </c>
      <c r="G538" s="1">
        <v>46154</v>
      </c>
    </row>
    <row r="539" spans="1:7" x14ac:dyDescent="0.35">
      <c r="A539" t="s">
        <v>573</v>
      </c>
      <c r="B539" t="s">
        <v>44</v>
      </c>
      <c r="C539" t="s">
        <v>39</v>
      </c>
      <c r="D539">
        <v>4</v>
      </c>
      <c r="E539">
        <v>3219.03</v>
      </c>
      <c r="F539" t="s">
        <v>22</v>
      </c>
      <c r="G539" s="1">
        <v>46104</v>
      </c>
    </row>
    <row r="540" spans="1:7" x14ac:dyDescent="0.35">
      <c r="A540" t="s">
        <v>574</v>
      </c>
      <c r="B540" t="s">
        <v>12</v>
      </c>
      <c r="C540" t="s">
        <v>13</v>
      </c>
      <c r="D540">
        <v>3</v>
      </c>
      <c r="E540">
        <v>1443.88</v>
      </c>
      <c r="F540" t="s">
        <v>46</v>
      </c>
      <c r="G540" s="1">
        <v>46167</v>
      </c>
    </row>
    <row r="541" spans="1:7" x14ac:dyDescent="0.35">
      <c r="A541" t="s">
        <v>575</v>
      </c>
      <c r="B541" t="s">
        <v>38</v>
      </c>
      <c r="C541" t="s">
        <v>39</v>
      </c>
      <c r="D541">
        <v>2</v>
      </c>
      <c r="E541">
        <v>6813.63</v>
      </c>
      <c r="F541" t="s">
        <v>46</v>
      </c>
      <c r="G541" s="1">
        <v>46089</v>
      </c>
    </row>
    <row r="542" spans="1:7" x14ac:dyDescent="0.35">
      <c r="A542" t="s">
        <v>576</v>
      </c>
      <c r="B542" t="s">
        <v>80</v>
      </c>
      <c r="C542" t="s">
        <v>39</v>
      </c>
      <c r="D542">
        <v>5</v>
      </c>
      <c r="E542">
        <v>4266.4799999999996</v>
      </c>
      <c r="F542" t="s">
        <v>48</v>
      </c>
      <c r="G542" s="1">
        <v>46098</v>
      </c>
    </row>
    <row r="543" spans="1:7" x14ac:dyDescent="0.35">
      <c r="A543" t="s">
        <v>577</v>
      </c>
      <c r="B543" t="s">
        <v>72</v>
      </c>
      <c r="C543" t="s">
        <v>13</v>
      </c>
      <c r="D543">
        <v>2</v>
      </c>
      <c r="E543">
        <v>2125.14</v>
      </c>
      <c r="F543" t="s">
        <v>48</v>
      </c>
      <c r="G543" s="1">
        <v>46168</v>
      </c>
    </row>
    <row r="544" spans="1:7" x14ac:dyDescent="0.35">
      <c r="A544" t="s">
        <v>578</v>
      </c>
      <c r="B544" t="s">
        <v>38</v>
      </c>
      <c r="C544" t="s">
        <v>39</v>
      </c>
      <c r="D544">
        <v>2</v>
      </c>
      <c r="E544">
        <v>6499.09</v>
      </c>
      <c r="F544" t="s">
        <v>32</v>
      </c>
      <c r="G544" s="1">
        <v>46088</v>
      </c>
    </row>
    <row r="545" spans="1:7" x14ac:dyDescent="0.35">
      <c r="A545" t="s">
        <v>579</v>
      </c>
      <c r="B545" t="s">
        <v>62</v>
      </c>
      <c r="C545" t="s">
        <v>25</v>
      </c>
      <c r="D545">
        <v>4</v>
      </c>
      <c r="E545">
        <v>2185.5100000000002</v>
      </c>
      <c r="F545" t="s">
        <v>22</v>
      </c>
      <c r="G545" s="1">
        <v>46140</v>
      </c>
    </row>
    <row r="546" spans="1:7" x14ac:dyDescent="0.35">
      <c r="A546" t="s">
        <v>580</v>
      </c>
      <c r="B546" t="s">
        <v>72</v>
      </c>
      <c r="C546" t="s">
        <v>13</v>
      </c>
      <c r="D546">
        <v>3</v>
      </c>
      <c r="E546">
        <v>2054.48</v>
      </c>
      <c r="F546" t="s">
        <v>14</v>
      </c>
      <c r="G546" s="1">
        <v>46148</v>
      </c>
    </row>
    <row r="547" spans="1:7" x14ac:dyDescent="0.35">
      <c r="A547" t="s">
        <v>581</v>
      </c>
      <c r="B547" t="s">
        <v>72</v>
      </c>
      <c r="C547" t="s">
        <v>13</v>
      </c>
      <c r="D547">
        <v>5</v>
      </c>
      <c r="E547">
        <v>2415.7399999999998</v>
      </c>
      <c r="F547" t="s">
        <v>46</v>
      </c>
      <c r="G547" s="1">
        <v>46157</v>
      </c>
    </row>
    <row r="548" spans="1:7" x14ac:dyDescent="0.35">
      <c r="A548" t="s">
        <v>582</v>
      </c>
      <c r="B548" t="s">
        <v>91</v>
      </c>
      <c r="C548" t="s">
        <v>13</v>
      </c>
      <c r="D548">
        <v>1</v>
      </c>
      <c r="E548">
        <v>59897.07</v>
      </c>
      <c r="F548" t="s">
        <v>46</v>
      </c>
      <c r="G548" s="1">
        <v>46024</v>
      </c>
    </row>
    <row r="549" spans="1:7" x14ac:dyDescent="0.35">
      <c r="A549" t="s">
        <v>583</v>
      </c>
      <c r="B549" t="s">
        <v>28</v>
      </c>
      <c r="C549" t="s">
        <v>9</v>
      </c>
      <c r="D549">
        <v>2</v>
      </c>
      <c r="E549">
        <v>5341.48</v>
      </c>
      <c r="F549" t="s">
        <v>29</v>
      </c>
      <c r="G549" s="1">
        <v>46040</v>
      </c>
    </row>
    <row r="550" spans="1:7" x14ac:dyDescent="0.35">
      <c r="A550" t="s">
        <v>584</v>
      </c>
      <c r="B550" t="s">
        <v>21</v>
      </c>
      <c r="C550" t="s">
        <v>13</v>
      </c>
      <c r="D550">
        <v>2</v>
      </c>
      <c r="E550">
        <v>25251.19</v>
      </c>
      <c r="F550" t="s">
        <v>14</v>
      </c>
      <c r="G550" s="1">
        <v>46139</v>
      </c>
    </row>
    <row r="551" spans="1:7" x14ac:dyDescent="0.35">
      <c r="A551" t="s">
        <v>585</v>
      </c>
      <c r="B551" t="s">
        <v>55</v>
      </c>
      <c r="C551" t="s">
        <v>25</v>
      </c>
      <c r="D551">
        <v>1</v>
      </c>
      <c r="E551">
        <v>2557.89</v>
      </c>
      <c r="F551" t="s">
        <v>50</v>
      </c>
      <c r="G551" s="1">
        <v>46146</v>
      </c>
    </row>
    <row r="552" spans="1:7" x14ac:dyDescent="0.35">
      <c r="A552" t="s">
        <v>586</v>
      </c>
      <c r="B552" t="s">
        <v>8</v>
      </c>
      <c r="C552" t="s">
        <v>9</v>
      </c>
      <c r="D552">
        <v>4</v>
      </c>
      <c r="E552">
        <v>1625.66</v>
      </c>
      <c r="F552" t="s">
        <v>14</v>
      </c>
      <c r="G552" s="1">
        <v>46164</v>
      </c>
    </row>
    <row r="553" spans="1:7" x14ac:dyDescent="0.35">
      <c r="A553" t="s">
        <v>587</v>
      </c>
      <c r="B553" t="s">
        <v>28</v>
      </c>
      <c r="C553" t="s">
        <v>9</v>
      </c>
      <c r="D553">
        <v>1</v>
      </c>
      <c r="E553">
        <v>4515.82</v>
      </c>
      <c r="F553" t="s">
        <v>10</v>
      </c>
      <c r="G553" s="1">
        <v>46160</v>
      </c>
    </row>
    <row r="554" spans="1:7" x14ac:dyDescent="0.35">
      <c r="A554" t="s">
        <v>588</v>
      </c>
      <c r="B554" t="s">
        <v>24</v>
      </c>
      <c r="C554" t="s">
        <v>25</v>
      </c>
      <c r="D554">
        <v>1</v>
      </c>
      <c r="E554">
        <v>799.35</v>
      </c>
      <c r="F554" t="s">
        <v>48</v>
      </c>
      <c r="G554" s="1">
        <v>46068</v>
      </c>
    </row>
    <row r="555" spans="1:7" x14ac:dyDescent="0.35">
      <c r="A555" t="s">
        <v>589</v>
      </c>
      <c r="B555" t="s">
        <v>31</v>
      </c>
      <c r="C555" t="s">
        <v>13</v>
      </c>
      <c r="D555">
        <v>1</v>
      </c>
      <c r="E555">
        <v>18087.79</v>
      </c>
      <c r="F555" t="s">
        <v>29</v>
      </c>
      <c r="G555" s="1">
        <v>46072</v>
      </c>
    </row>
    <row r="556" spans="1:7" x14ac:dyDescent="0.35">
      <c r="A556" t="s">
        <v>590</v>
      </c>
      <c r="B556" t="s">
        <v>16</v>
      </c>
      <c r="C556" t="s">
        <v>17</v>
      </c>
      <c r="D556">
        <v>5</v>
      </c>
      <c r="E556">
        <v>427.72</v>
      </c>
      <c r="F556" t="s">
        <v>32</v>
      </c>
      <c r="G556" s="1">
        <v>46091</v>
      </c>
    </row>
    <row r="557" spans="1:7" x14ac:dyDescent="0.35">
      <c r="A557" t="s">
        <v>591</v>
      </c>
      <c r="B557" t="s">
        <v>62</v>
      </c>
      <c r="C557" t="s">
        <v>25</v>
      </c>
      <c r="D557">
        <v>4</v>
      </c>
      <c r="E557">
        <v>1830.69</v>
      </c>
      <c r="F557" t="s">
        <v>48</v>
      </c>
      <c r="G557" s="1">
        <v>46140</v>
      </c>
    </row>
    <row r="558" spans="1:7" x14ac:dyDescent="0.35">
      <c r="A558" t="s">
        <v>592</v>
      </c>
      <c r="B558" t="s">
        <v>16</v>
      </c>
      <c r="C558" t="s">
        <v>17</v>
      </c>
      <c r="D558">
        <v>2</v>
      </c>
      <c r="E558">
        <v>494.12</v>
      </c>
      <c r="F558" t="s">
        <v>29</v>
      </c>
      <c r="G558" s="1">
        <v>46099</v>
      </c>
    </row>
    <row r="559" spans="1:7" x14ac:dyDescent="0.35">
      <c r="A559" t="s">
        <v>593</v>
      </c>
      <c r="B559" t="s">
        <v>8</v>
      </c>
      <c r="C559" t="s">
        <v>9</v>
      </c>
      <c r="D559">
        <v>1</v>
      </c>
      <c r="E559">
        <v>1855.34</v>
      </c>
      <c r="F559" t="s">
        <v>46</v>
      </c>
      <c r="G559" s="1">
        <v>46046</v>
      </c>
    </row>
    <row r="560" spans="1:7" x14ac:dyDescent="0.35">
      <c r="A560" t="s">
        <v>594</v>
      </c>
      <c r="B560" t="s">
        <v>28</v>
      </c>
      <c r="C560" t="s">
        <v>9</v>
      </c>
      <c r="D560">
        <v>4</v>
      </c>
      <c r="E560">
        <v>4876.1899999999996</v>
      </c>
      <c r="F560" t="s">
        <v>22</v>
      </c>
      <c r="G560" s="1">
        <v>46037</v>
      </c>
    </row>
    <row r="561" spans="1:7" x14ac:dyDescent="0.35">
      <c r="A561" t="s">
        <v>595</v>
      </c>
      <c r="B561" t="s">
        <v>8</v>
      </c>
      <c r="C561" t="s">
        <v>9</v>
      </c>
      <c r="D561">
        <v>1</v>
      </c>
      <c r="E561">
        <v>1873.02</v>
      </c>
      <c r="F561" t="s">
        <v>18</v>
      </c>
      <c r="G561" s="1">
        <v>46150</v>
      </c>
    </row>
    <row r="562" spans="1:7" x14ac:dyDescent="0.35">
      <c r="A562" t="s">
        <v>596</v>
      </c>
      <c r="B562" t="s">
        <v>38</v>
      </c>
      <c r="C562" t="s">
        <v>39</v>
      </c>
      <c r="D562">
        <v>4</v>
      </c>
      <c r="E562">
        <v>6688.38</v>
      </c>
      <c r="F562" t="s">
        <v>32</v>
      </c>
      <c r="G562" s="1">
        <v>46167</v>
      </c>
    </row>
    <row r="563" spans="1:7" x14ac:dyDescent="0.35">
      <c r="A563" t="s">
        <v>597</v>
      </c>
      <c r="B563" t="s">
        <v>38</v>
      </c>
      <c r="C563" t="s">
        <v>39</v>
      </c>
      <c r="D563">
        <v>1</v>
      </c>
      <c r="E563">
        <v>7013.23</v>
      </c>
      <c r="F563" t="s">
        <v>46</v>
      </c>
      <c r="G563" s="1">
        <v>46081</v>
      </c>
    </row>
    <row r="564" spans="1:7" x14ac:dyDescent="0.35">
      <c r="A564" t="s">
        <v>598</v>
      </c>
      <c r="B564" t="s">
        <v>12</v>
      </c>
      <c r="C564" t="s">
        <v>13</v>
      </c>
      <c r="D564">
        <v>5</v>
      </c>
      <c r="E564">
        <v>1492.65</v>
      </c>
      <c r="F564" t="s">
        <v>46</v>
      </c>
      <c r="G564" s="1">
        <v>46042</v>
      </c>
    </row>
    <row r="565" spans="1:7" x14ac:dyDescent="0.35">
      <c r="A565" t="s">
        <v>599</v>
      </c>
      <c r="B565" t="s">
        <v>8</v>
      </c>
      <c r="C565" t="s">
        <v>9</v>
      </c>
      <c r="D565">
        <v>3</v>
      </c>
      <c r="E565">
        <v>1943.75</v>
      </c>
      <c r="F565" t="s">
        <v>50</v>
      </c>
      <c r="G565" s="1">
        <v>46191</v>
      </c>
    </row>
    <row r="566" spans="1:7" x14ac:dyDescent="0.35">
      <c r="A566" t="s">
        <v>600</v>
      </c>
      <c r="B566" t="s">
        <v>91</v>
      </c>
      <c r="C566" t="s">
        <v>13</v>
      </c>
      <c r="D566">
        <v>2</v>
      </c>
      <c r="E566">
        <v>59716.43</v>
      </c>
      <c r="F566" t="s">
        <v>32</v>
      </c>
      <c r="G566" s="1">
        <v>46027</v>
      </c>
    </row>
    <row r="567" spans="1:7" x14ac:dyDescent="0.35">
      <c r="A567" t="s">
        <v>601</v>
      </c>
      <c r="B567" t="s">
        <v>12</v>
      </c>
      <c r="C567" t="s">
        <v>13</v>
      </c>
      <c r="D567">
        <v>5</v>
      </c>
      <c r="E567">
        <v>1393.26</v>
      </c>
      <c r="F567" t="s">
        <v>48</v>
      </c>
      <c r="G567" s="1">
        <v>46042</v>
      </c>
    </row>
    <row r="568" spans="1:7" x14ac:dyDescent="0.35">
      <c r="A568" t="s">
        <v>602</v>
      </c>
      <c r="B568" t="s">
        <v>24</v>
      </c>
      <c r="C568" t="s">
        <v>25</v>
      </c>
      <c r="D568">
        <v>2</v>
      </c>
      <c r="E568">
        <v>809.22</v>
      </c>
      <c r="F568" t="s">
        <v>50</v>
      </c>
      <c r="G568" s="1">
        <v>46122</v>
      </c>
    </row>
    <row r="569" spans="1:7" x14ac:dyDescent="0.35">
      <c r="A569" t="s">
        <v>603</v>
      </c>
      <c r="B569" t="s">
        <v>8</v>
      </c>
      <c r="C569" t="s">
        <v>9</v>
      </c>
      <c r="D569">
        <v>5</v>
      </c>
      <c r="E569">
        <v>1739.42</v>
      </c>
      <c r="F569" t="s">
        <v>26</v>
      </c>
      <c r="G569" s="1">
        <v>46199</v>
      </c>
    </row>
    <row r="570" spans="1:7" x14ac:dyDescent="0.35">
      <c r="A570" t="s">
        <v>604</v>
      </c>
      <c r="B570" t="s">
        <v>21</v>
      </c>
      <c r="C570" t="s">
        <v>13</v>
      </c>
      <c r="D570">
        <v>1</v>
      </c>
      <c r="E570">
        <v>28004.44</v>
      </c>
      <c r="F570" t="s">
        <v>32</v>
      </c>
      <c r="G570" s="1">
        <v>46036</v>
      </c>
    </row>
    <row r="571" spans="1:7" x14ac:dyDescent="0.35">
      <c r="A571" t="s">
        <v>605</v>
      </c>
      <c r="B571" t="s">
        <v>31</v>
      </c>
      <c r="C571" t="s">
        <v>13</v>
      </c>
      <c r="D571">
        <v>4</v>
      </c>
      <c r="E571">
        <v>17035.72</v>
      </c>
      <c r="F571" t="s">
        <v>18</v>
      </c>
      <c r="G571" s="1">
        <v>46110</v>
      </c>
    </row>
    <row r="572" spans="1:7" x14ac:dyDescent="0.35">
      <c r="A572" t="s">
        <v>606</v>
      </c>
      <c r="B572" t="s">
        <v>16</v>
      </c>
      <c r="C572" t="s">
        <v>17</v>
      </c>
      <c r="D572">
        <v>5</v>
      </c>
      <c r="E572">
        <v>490.94</v>
      </c>
      <c r="F572" t="s">
        <v>48</v>
      </c>
      <c r="G572" s="1">
        <v>46106</v>
      </c>
    </row>
    <row r="573" spans="1:7" x14ac:dyDescent="0.35">
      <c r="A573" t="s">
        <v>607</v>
      </c>
      <c r="B573" t="s">
        <v>91</v>
      </c>
      <c r="C573" t="s">
        <v>13</v>
      </c>
      <c r="D573">
        <v>3</v>
      </c>
      <c r="E573">
        <v>58119.03</v>
      </c>
      <c r="F573" t="s">
        <v>22</v>
      </c>
      <c r="G573" s="1">
        <v>46148</v>
      </c>
    </row>
    <row r="574" spans="1:7" x14ac:dyDescent="0.35">
      <c r="A574" t="s">
        <v>608</v>
      </c>
      <c r="B574" t="s">
        <v>12</v>
      </c>
      <c r="C574" t="s">
        <v>13</v>
      </c>
      <c r="D574">
        <v>3</v>
      </c>
      <c r="E574">
        <v>1515.91</v>
      </c>
      <c r="F574" t="s">
        <v>48</v>
      </c>
      <c r="G574" s="1">
        <v>46133</v>
      </c>
    </row>
    <row r="575" spans="1:7" x14ac:dyDescent="0.35">
      <c r="A575" t="s">
        <v>609</v>
      </c>
      <c r="B575" t="s">
        <v>72</v>
      </c>
      <c r="C575" t="s">
        <v>13</v>
      </c>
      <c r="D575">
        <v>5</v>
      </c>
      <c r="E575">
        <v>2270.6999999999998</v>
      </c>
      <c r="F575" t="s">
        <v>18</v>
      </c>
      <c r="G575" s="1">
        <v>46181</v>
      </c>
    </row>
    <row r="576" spans="1:7" x14ac:dyDescent="0.35">
      <c r="A576" t="s">
        <v>610</v>
      </c>
      <c r="B576" t="s">
        <v>24</v>
      </c>
      <c r="C576" t="s">
        <v>25</v>
      </c>
      <c r="D576">
        <v>2</v>
      </c>
      <c r="E576">
        <v>833.05</v>
      </c>
      <c r="F576" t="s">
        <v>18</v>
      </c>
      <c r="G576" s="1">
        <v>46091</v>
      </c>
    </row>
    <row r="577" spans="1:7" x14ac:dyDescent="0.35">
      <c r="A577" t="s">
        <v>611</v>
      </c>
      <c r="B577" t="s">
        <v>72</v>
      </c>
      <c r="C577" t="s">
        <v>13</v>
      </c>
      <c r="D577">
        <v>4</v>
      </c>
      <c r="E577">
        <v>2293.14</v>
      </c>
      <c r="F577" t="s">
        <v>26</v>
      </c>
      <c r="G577" s="1">
        <v>46122</v>
      </c>
    </row>
    <row r="578" spans="1:7" x14ac:dyDescent="0.35">
      <c r="A578" t="s">
        <v>612</v>
      </c>
      <c r="B578" t="s">
        <v>55</v>
      </c>
      <c r="C578" t="s">
        <v>25</v>
      </c>
      <c r="D578">
        <v>3</v>
      </c>
      <c r="E578">
        <v>2302.35</v>
      </c>
      <c r="F578" t="s">
        <v>46</v>
      </c>
      <c r="G578" s="1">
        <v>46101</v>
      </c>
    </row>
    <row r="579" spans="1:7" x14ac:dyDescent="0.35">
      <c r="A579" t="s">
        <v>613</v>
      </c>
      <c r="B579" t="s">
        <v>44</v>
      </c>
      <c r="C579" t="s">
        <v>39</v>
      </c>
      <c r="D579">
        <v>3</v>
      </c>
      <c r="E579">
        <v>3682.94</v>
      </c>
      <c r="F579" t="s">
        <v>18</v>
      </c>
      <c r="G579" s="1">
        <v>46056</v>
      </c>
    </row>
    <row r="580" spans="1:7" x14ac:dyDescent="0.35">
      <c r="A580" t="s">
        <v>614</v>
      </c>
      <c r="B580" t="s">
        <v>31</v>
      </c>
      <c r="C580" t="s">
        <v>13</v>
      </c>
      <c r="D580">
        <v>2</v>
      </c>
      <c r="E580">
        <v>17751.53</v>
      </c>
      <c r="F580" t="s">
        <v>14</v>
      </c>
      <c r="G580" s="1">
        <v>46165</v>
      </c>
    </row>
    <row r="581" spans="1:7" x14ac:dyDescent="0.35">
      <c r="A581" t="s">
        <v>615</v>
      </c>
      <c r="B581" t="s">
        <v>80</v>
      </c>
      <c r="C581" t="s">
        <v>39</v>
      </c>
      <c r="D581">
        <v>4</v>
      </c>
      <c r="E581">
        <v>3866.77</v>
      </c>
      <c r="F581" t="s">
        <v>18</v>
      </c>
      <c r="G581" s="1">
        <v>46113</v>
      </c>
    </row>
    <row r="582" spans="1:7" x14ac:dyDescent="0.35">
      <c r="A582" t="s">
        <v>616</v>
      </c>
      <c r="B582" t="s">
        <v>80</v>
      </c>
      <c r="C582" t="s">
        <v>39</v>
      </c>
      <c r="D582">
        <v>1</v>
      </c>
      <c r="E582">
        <v>4281.42</v>
      </c>
      <c r="F582" t="s">
        <v>32</v>
      </c>
      <c r="G582" s="1">
        <v>46121</v>
      </c>
    </row>
    <row r="583" spans="1:7" x14ac:dyDescent="0.35">
      <c r="A583" t="s">
        <v>617</v>
      </c>
      <c r="B583" t="s">
        <v>91</v>
      </c>
      <c r="C583" t="s">
        <v>13</v>
      </c>
      <c r="D583">
        <v>3</v>
      </c>
      <c r="E583">
        <v>54051.91</v>
      </c>
      <c r="F583" t="s">
        <v>18</v>
      </c>
      <c r="G583" s="1">
        <v>46166</v>
      </c>
    </row>
    <row r="584" spans="1:7" x14ac:dyDescent="0.35">
      <c r="A584" t="s">
        <v>618</v>
      </c>
      <c r="B584" t="s">
        <v>12</v>
      </c>
      <c r="C584" t="s">
        <v>13</v>
      </c>
      <c r="D584">
        <v>5</v>
      </c>
      <c r="E584">
        <v>1506.33</v>
      </c>
      <c r="F584" t="s">
        <v>48</v>
      </c>
      <c r="G584" s="1">
        <v>46066</v>
      </c>
    </row>
    <row r="585" spans="1:7" x14ac:dyDescent="0.35">
      <c r="A585" t="s">
        <v>619</v>
      </c>
      <c r="B585" t="s">
        <v>72</v>
      </c>
      <c r="C585" t="s">
        <v>13</v>
      </c>
      <c r="D585">
        <v>3</v>
      </c>
      <c r="E585">
        <v>2112.5</v>
      </c>
      <c r="F585" t="s">
        <v>22</v>
      </c>
      <c r="G585" s="1">
        <v>46060</v>
      </c>
    </row>
    <row r="586" spans="1:7" x14ac:dyDescent="0.35">
      <c r="A586" t="s">
        <v>620</v>
      </c>
      <c r="B586" t="s">
        <v>31</v>
      </c>
      <c r="C586" t="s">
        <v>13</v>
      </c>
      <c r="D586">
        <v>2</v>
      </c>
      <c r="E586">
        <v>17764.830000000002</v>
      </c>
      <c r="F586" t="s">
        <v>48</v>
      </c>
      <c r="G586" s="1">
        <v>46099</v>
      </c>
    </row>
    <row r="587" spans="1:7" x14ac:dyDescent="0.35">
      <c r="A587" t="s">
        <v>621</v>
      </c>
      <c r="B587" t="s">
        <v>44</v>
      </c>
      <c r="C587" t="s">
        <v>39</v>
      </c>
      <c r="D587">
        <v>1</v>
      </c>
      <c r="E587">
        <v>3402.79</v>
      </c>
      <c r="F587" t="s">
        <v>29</v>
      </c>
      <c r="G587" s="1">
        <v>46183</v>
      </c>
    </row>
    <row r="588" spans="1:7" x14ac:dyDescent="0.35">
      <c r="A588" t="s">
        <v>622</v>
      </c>
      <c r="B588" t="s">
        <v>44</v>
      </c>
      <c r="C588" t="s">
        <v>39</v>
      </c>
      <c r="D588">
        <v>5</v>
      </c>
      <c r="E588">
        <v>3581.67</v>
      </c>
      <c r="F588" t="s">
        <v>22</v>
      </c>
      <c r="G588" s="1">
        <v>46050</v>
      </c>
    </row>
    <row r="589" spans="1:7" x14ac:dyDescent="0.35">
      <c r="A589" t="s">
        <v>623</v>
      </c>
      <c r="B589" t="s">
        <v>72</v>
      </c>
      <c r="C589" t="s">
        <v>13</v>
      </c>
      <c r="D589">
        <v>3</v>
      </c>
      <c r="E589">
        <v>1982.98</v>
      </c>
      <c r="F589" t="s">
        <v>48</v>
      </c>
      <c r="G589" s="1">
        <v>46108</v>
      </c>
    </row>
    <row r="590" spans="1:7" x14ac:dyDescent="0.35">
      <c r="A590" t="s">
        <v>624</v>
      </c>
      <c r="B590" t="s">
        <v>38</v>
      </c>
      <c r="C590" t="s">
        <v>39</v>
      </c>
      <c r="D590">
        <v>5</v>
      </c>
      <c r="E590">
        <v>6343.86</v>
      </c>
      <c r="F590" t="s">
        <v>32</v>
      </c>
      <c r="G590" s="1">
        <v>46135</v>
      </c>
    </row>
    <row r="591" spans="1:7" x14ac:dyDescent="0.35">
      <c r="A591" t="s">
        <v>625</v>
      </c>
      <c r="B591" t="s">
        <v>55</v>
      </c>
      <c r="C591" t="s">
        <v>25</v>
      </c>
      <c r="D591">
        <v>4</v>
      </c>
      <c r="E591">
        <v>2656.67</v>
      </c>
      <c r="F591" t="s">
        <v>50</v>
      </c>
      <c r="G591" s="1">
        <v>46057</v>
      </c>
    </row>
    <row r="592" spans="1:7" x14ac:dyDescent="0.35">
      <c r="A592" t="s">
        <v>626</v>
      </c>
      <c r="B592" t="s">
        <v>24</v>
      </c>
      <c r="C592" t="s">
        <v>25</v>
      </c>
      <c r="D592">
        <v>3</v>
      </c>
      <c r="E592">
        <v>815.49</v>
      </c>
      <c r="F592" t="s">
        <v>29</v>
      </c>
      <c r="G592" s="1">
        <v>46145</v>
      </c>
    </row>
    <row r="593" spans="1:7" x14ac:dyDescent="0.35">
      <c r="A593" t="s">
        <v>627</v>
      </c>
      <c r="B593" t="s">
        <v>55</v>
      </c>
      <c r="C593" t="s">
        <v>25</v>
      </c>
      <c r="D593">
        <v>2</v>
      </c>
      <c r="E593">
        <v>2731.19</v>
      </c>
      <c r="F593" t="s">
        <v>32</v>
      </c>
      <c r="G593" s="1">
        <v>46097</v>
      </c>
    </row>
    <row r="594" spans="1:7" x14ac:dyDescent="0.35">
      <c r="A594" t="s">
        <v>628</v>
      </c>
      <c r="B594" t="s">
        <v>21</v>
      </c>
      <c r="C594" t="s">
        <v>13</v>
      </c>
      <c r="D594">
        <v>4</v>
      </c>
      <c r="E594">
        <v>30619.47</v>
      </c>
      <c r="F594" t="s">
        <v>29</v>
      </c>
      <c r="G594" s="1">
        <v>46106</v>
      </c>
    </row>
    <row r="595" spans="1:7" x14ac:dyDescent="0.35">
      <c r="A595" t="s">
        <v>629</v>
      </c>
      <c r="B595" t="s">
        <v>28</v>
      </c>
      <c r="C595" t="s">
        <v>9</v>
      </c>
      <c r="D595">
        <v>3</v>
      </c>
      <c r="E595">
        <v>5315.43</v>
      </c>
      <c r="F595" t="s">
        <v>48</v>
      </c>
      <c r="G595" s="1">
        <v>46116</v>
      </c>
    </row>
    <row r="596" spans="1:7" x14ac:dyDescent="0.35">
      <c r="A596" t="s">
        <v>630</v>
      </c>
      <c r="B596" t="s">
        <v>31</v>
      </c>
      <c r="C596" t="s">
        <v>13</v>
      </c>
      <c r="D596">
        <v>5</v>
      </c>
      <c r="E596">
        <v>16919.28</v>
      </c>
      <c r="F596" t="s">
        <v>14</v>
      </c>
      <c r="G596" s="1">
        <v>46069</v>
      </c>
    </row>
    <row r="597" spans="1:7" x14ac:dyDescent="0.35">
      <c r="A597" t="s">
        <v>631</v>
      </c>
      <c r="B597" t="s">
        <v>8</v>
      </c>
      <c r="C597" t="s">
        <v>9</v>
      </c>
      <c r="D597">
        <v>5</v>
      </c>
      <c r="E597">
        <v>1629.69</v>
      </c>
      <c r="F597" t="s">
        <v>22</v>
      </c>
      <c r="G597" s="1">
        <v>46076</v>
      </c>
    </row>
    <row r="598" spans="1:7" x14ac:dyDescent="0.35">
      <c r="A598" t="s">
        <v>632</v>
      </c>
      <c r="B598" t="s">
        <v>44</v>
      </c>
      <c r="C598" t="s">
        <v>39</v>
      </c>
      <c r="D598">
        <v>3</v>
      </c>
      <c r="E598">
        <v>3731.9</v>
      </c>
      <c r="F598" t="s">
        <v>18</v>
      </c>
      <c r="G598" s="1">
        <v>46127</v>
      </c>
    </row>
    <row r="599" spans="1:7" x14ac:dyDescent="0.35">
      <c r="A599" t="s">
        <v>633</v>
      </c>
      <c r="B599" t="s">
        <v>8</v>
      </c>
      <c r="C599" t="s">
        <v>9</v>
      </c>
      <c r="D599">
        <v>4</v>
      </c>
      <c r="E599">
        <v>1670.1</v>
      </c>
      <c r="F599" t="s">
        <v>10</v>
      </c>
      <c r="G599" s="1">
        <v>46084</v>
      </c>
    </row>
    <row r="600" spans="1:7" x14ac:dyDescent="0.35">
      <c r="A600" t="s">
        <v>634</v>
      </c>
      <c r="B600" t="s">
        <v>24</v>
      </c>
      <c r="C600" t="s">
        <v>25</v>
      </c>
      <c r="D600">
        <v>2</v>
      </c>
      <c r="E600">
        <v>833.39</v>
      </c>
      <c r="F600" t="s">
        <v>48</v>
      </c>
      <c r="G600" s="1">
        <v>46041</v>
      </c>
    </row>
    <row r="601" spans="1:7" x14ac:dyDescent="0.35">
      <c r="A601" t="s">
        <v>635</v>
      </c>
      <c r="B601" t="s">
        <v>44</v>
      </c>
      <c r="C601" t="s">
        <v>39</v>
      </c>
      <c r="D601">
        <v>5</v>
      </c>
      <c r="E601">
        <v>3485.46</v>
      </c>
      <c r="F601" t="s">
        <v>48</v>
      </c>
      <c r="G601" s="1">
        <v>46159</v>
      </c>
    </row>
    <row r="602" spans="1:7" x14ac:dyDescent="0.35">
      <c r="A602" t="s">
        <v>636</v>
      </c>
      <c r="B602" t="s">
        <v>80</v>
      </c>
      <c r="C602" t="s">
        <v>39</v>
      </c>
      <c r="D602">
        <v>4</v>
      </c>
      <c r="E602">
        <v>4236.66</v>
      </c>
      <c r="F602" t="s">
        <v>32</v>
      </c>
      <c r="G602" s="1">
        <v>46202</v>
      </c>
    </row>
    <row r="603" spans="1:7" x14ac:dyDescent="0.35">
      <c r="A603" t="s">
        <v>637</v>
      </c>
      <c r="B603" t="s">
        <v>62</v>
      </c>
      <c r="C603" t="s">
        <v>25</v>
      </c>
      <c r="D603">
        <v>5</v>
      </c>
      <c r="E603">
        <v>2036.51</v>
      </c>
      <c r="F603" t="s">
        <v>18</v>
      </c>
      <c r="G603" s="1">
        <v>46050</v>
      </c>
    </row>
    <row r="604" spans="1:7" x14ac:dyDescent="0.35">
      <c r="A604" t="s">
        <v>638</v>
      </c>
      <c r="B604" t="s">
        <v>62</v>
      </c>
      <c r="C604" t="s">
        <v>25</v>
      </c>
      <c r="D604">
        <v>2</v>
      </c>
      <c r="E604">
        <v>2062.0100000000002</v>
      </c>
      <c r="F604" t="s">
        <v>32</v>
      </c>
      <c r="G604" s="1">
        <v>46065</v>
      </c>
    </row>
    <row r="605" spans="1:7" x14ac:dyDescent="0.35">
      <c r="A605" t="s">
        <v>639</v>
      </c>
      <c r="B605" t="s">
        <v>8</v>
      </c>
      <c r="C605" t="s">
        <v>9</v>
      </c>
      <c r="D605">
        <v>5</v>
      </c>
      <c r="E605">
        <v>1635.95</v>
      </c>
      <c r="F605" t="s">
        <v>48</v>
      </c>
      <c r="G605" s="1">
        <v>46107</v>
      </c>
    </row>
    <row r="606" spans="1:7" x14ac:dyDescent="0.35">
      <c r="A606" t="s">
        <v>640</v>
      </c>
      <c r="B606" t="s">
        <v>62</v>
      </c>
      <c r="C606" t="s">
        <v>25</v>
      </c>
      <c r="D606">
        <v>4</v>
      </c>
      <c r="E606">
        <v>1841.46</v>
      </c>
      <c r="F606" t="s">
        <v>18</v>
      </c>
      <c r="G606" s="1">
        <v>46089</v>
      </c>
    </row>
    <row r="607" spans="1:7" x14ac:dyDescent="0.35">
      <c r="A607" t="s">
        <v>641</v>
      </c>
      <c r="B607" t="s">
        <v>12</v>
      </c>
      <c r="C607" t="s">
        <v>13</v>
      </c>
      <c r="D607">
        <v>5</v>
      </c>
      <c r="E607">
        <v>1574.06</v>
      </c>
      <c r="F607" t="s">
        <v>14</v>
      </c>
      <c r="G607" s="1">
        <v>46171</v>
      </c>
    </row>
    <row r="608" spans="1:7" x14ac:dyDescent="0.35">
      <c r="A608" t="s">
        <v>642</v>
      </c>
      <c r="B608" t="s">
        <v>21</v>
      </c>
      <c r="C608" t="s">
        <v>13</v>
      </c>
      <c r="D608">
        <v>5</v>
      </c>
      <c r="E608">
        <v>26437.78</v>
      </c>
      <c r="F608" t="s">
        <v>32</v>
      </c>
      <c r="G608" s="1">
        <v>46123</v>
      </c>
    </row>
    <row r="609" spans="1:7" x14ac:dyDescent="0.35">
      <c r="A609" t="s">
        <v>643</v>
      </c>
      <c r="B609" t="s">
        <v>44</v>
      </c>
      <c r="C609" t="s">
        <v>39</v>
      </c>
      <c r="D609">
        <v>5</v>
      </c>
      <c r="E609">
        <v>3633.31</v>
      </c>
      <c r="F609" t="s">
        <v>26</v>
      </c>
      <c r="G609" s="1">
        <v>46111</v>
      </c>
    </row>
    <row r="610" spans="1:7" x14ac:dyDescent="0.35">
      <c r="A610" t="s">
        <v>644</v>
      </c>
      <c r="B610" t="s">
        <v>91</v>
      </c>
      <c r="C610" t="s">
        <v>13</v>
      </c>
      <c r="D610">
        <v>4</v>
      </c>
      <c r="E610">
        <v>50650.04</v>
      </c>
      <c r="F610" t="s">
        <v>48</v>
      </c>
      <c r="G610" s="1">
        <v>46044</v>
      </c>
    </row>
    <row r="611" spans="1:7" x14ac:dyDescent="0.35">
      <c r="A611" t="s">
        <v>645</v>
      </c>
      <c r="B611" t="s">
        <v>31</v>
      </c>
      <c r="C611" t="s">
        <v>13</v>
      </c>
      <c r="D611">
        <v>2</v>
      </c>
      <c r="E611">
        <v>17453.98</v>
      </c>
      <c r="F611" t="s">
        <v>32</v>
      </c>
      <c r="G611" s="1">
        <v>46139</v>
      </c>
    </row>
    <row r="612" spans="1:7" x14ac:dyDescent="0.35">
      <c r="A612" t="s">
        <v>646</v>
      </c>
      <c r="B612" t="s">
        <v>62</v>
      </c>
      <c r="C612" t="s">
        <v>25</v>
      </c>
      <c r="D612">
        <v>2</v>
      </c>
      <c r="E612">
        <v>2007.44</v>
      </c>
      <c r="F612" t="s">
        <v>32</v>
      </c>
      <c r="G612" s="1">
        <v>46144</v>
      </c>
    </row>
    <row r="613" spans="1:7" x14ac:dyDescent="0.35">
      <c r="A613" t="s">
        <v>647</v>
      </c>
      <c r="B613" t="s">
        <v>31</v>
      </c>
      <c r="C613" t="s">
        <v>13</v>
      </c>
      <c r="D613">
        <v>4</v>
      </c>
      <c r="E613">
        <v>18799.18</v>
      </c>
      <c r="F613" t="s">
        <v>22</v>
      </c>
      <c r="G613" s="1">
        <v>46104</v>
      </c>
    </row>
    <row r="614" spans="1:7" x14ac:dyDescent="0.35">
      <c r="A614" t="s">
        <v>648</v>
      </c>
      <c r="B614" t="s">
        <v>31</v>
      </c>
      <c r="C614" t="s">
        <v>13</v>
      </c>
      <c r="D614">
        <v>3</v>
      </c>
      <c r="E614">
        <v>16360.86</v>
      </c>
      <c r="F614" t="s">
        <v>18</v>
      </c>
      <c r="G614" s="1">
        <v>46028</v>
      </c>
    </row>
    <row r="615" spans="1:7" x14ac:dyDescent="0.35">
      <c r="A615" t="s">
        <v>649</v>
      </c>
      <c r="B615" t="s">
        <v>38</v>
      </c>
      <c r="C615" t="s">
        <v>39</v>
      </c>
      <c r="D615">
        <v>3</v>
      </c>
      <c r="E615">
        <v>6692.36</v>
      </c>
      <c r="F615" t="s">
        <v>26</v>
      </c>
      <c r="G615" s="1">
        <v>46085</v>
      </c>
    </row>
    <row r="616" spans="1:7" x14ac:dyDescent="0.35">
      <c r="A616" t="s">
        <v>650</v>
      </c>
      <c r="B616" t="s">
        <v>80</v>
      </c>
      <c r="C616" t="s">
        <v>39</v>
      </c>
      <c r="D616">
        <v>2</v>
      </c>
      <c r="E616">
        <v>4243.6000000000004</v>
      </c>
      <c r="F616" t="s">
        <v>32</v>
      </c>
      <c r="G616" s="1">
        <v>46166</v>
      </c>
    </row>
    <row r="617" spans="1:7" x14ac:dyDescent="0.35">
      <c r="A617" t="s">
        <v>651</v>
      </c>
      <c r="B617" t="s">
        <v>28</v>
      </c>
      <c r="C617" t="s">
        <v>9</v>
      </c>
      <c r="D617">
        <v>4</v>
      </c>
      <c r="E617">
        <v>4730.91</v>
      </c>
      <c r="F617" t="s">
        <v>48</v>
      </c>
      <c r="G617" s="1">
        <v>46184</v>
      </c>
    </row>
    <row r="618" spans="1:7" x14ac:dyDescent="0.35">
      <c r="A618" t="s">
        <v>652</v>
      </c>
      <c r="B618" t="s">
        <v>72</v>
      </c>
      <c r="C618" t="s">
        <v>13</v>
      </c>
      <c r="D618">
        <v>2</v>
      </c>
      <c r="E618">
        <v>2261.81</v>
      </c>
      <c r="F618" t="s">
        <v>48</v>
      </c>
      <c r="G618" s="1">
        <v>46124</v>
      </c>
    </row>
    <row r="619" spans="1:7" x14ac:dyDescent="0.35">
      <c r="A619" t="s">
        <v>653</v>
      </c>
      <c r="B619" t="s">
        <v>91</v>
      </c>
      <c r="C619" t="s">
        <v>13</v>
      </c>
      <c r="D619">
        <v>5</v>
      </c>
      <c r="E619">
        <v>59214.07</v>
      </c>
      <c r="F619" t="s">
        <v>22</v>
      </c>
      <c r="G619" s="1">
        <v>46174</v>
      </c>
    </row>
    <row r="620" spans="1:7" x14ac:dyDescent="0.35">
      <c r="A620" t="s">
        <v>654</v>
      </c>
      <c r="B620" t="s">
        <v>28</v>
      </c>
      <c r="C620" t="s">
        <v>9</v>
      </c>
      <c r="D620">
        <v>4</v>
      </c>
      <c r="E620">
        <v>4503.55</v>
      </c>
      <c r="F620" t="s">
        <v>29</v>
      </c>
      <c r="G620" s="1">
        <v>46075</v>
      </c>
    </row>
    <row r="621" spans="1:7" x14ac:dyDescent="0.35">
      <c r="A621" t="s">
        <v>655</v>
      </c>
      <c r="B621" t="s">
        <v>24</v>
      </c>
      <c r="C621" t="s">
        <v>25</v>
      </c>
      <c r="D621">
        <v>1</v>
      </c>
      <c r="E621">
        <v>811.36</v>
      </c>
      <c r="F621" t="s">
        <v>14</v>
      </c>
      <c r="G621" s="1">
        <v>46070</v>
      </c>
    </row>
    <row r="622" spans="1:7" x14ac:dyDescent="0.35">
      <c r="A622" t="s">
        <v>656</v>
      </c>
      <c r="B622" t="s">
        <v>55</v>
      </c>
      <c r="C622" t="s">
        <v>25</v>
      </c>
      <c r="D622">
        <v>3</v>
      </c>
      <c r="E622">
        <v>2347.6</v>
      </c>
      <c r="F622" t="s">
        <v>18</v>
      </c>
      <c r="G622" s="1">
        <v>46090</v>
      </c>
    </row>
    <row r="623" spans="1:7" x14ac:dyDescent="0.35">
      <c r="A623" t="s">
        <v>657</v>
      </c>
      <c r="B623" t="s">
        <v>8</v>
      </c>
      <c r="C623" t="s">
        <v>9</v>
      </c>
      <c r="D623">
        <v>4</v>
      </c>
      <c r="E623">
        <v>1809.98</v>
      </c>
      <c r="F623" t="s">
        <v>32</v>
      </c>
      <c r="G623" s="1">
        <v>46175</v>
      </c>
    </row>
    <row r="624" spans="1:7" x14ac:dyDescent="0.35">
      <c r="A624" t="s">
        <v>658</v>
      </c>
      <c r="B624" t="s">
        <v>28</v>
      </c>
      <c r="C624" t="s">
        <v>9</v>
      </c>
      <c r="D624">
        <v>5</v>
      </c>
      <c r="E624">
        <v>4891.57</v>
      </c>
      <c r="F624" t="s">
        <v>18</v>
      </c>
      <c r="G624" s="1">
        <v>46112</v>
      </c>
    </row>
    <row r="625" spans="1:7" x14ac:dyDescent="0.35">
      <c r="A625" t="s">
        <v>659</v>
      </c>
      <c r="B625" t="s">
        <v>55</v>
      </c>
      <c r="C625" t="s">
        <v>25</v>
      </c>
      <c r="D625">
        <v>4</v>
      </c>
      <c r="E625">
        <v>2557.66</v>
      </c>
      <c r="F625" t="s">
        <v>10</v>
      </c>
      <c r="G625" s="1">
        <v>46180</v>
      </c>
    </row>
    <row r="626" spans="1:7" x14ac:dyDescent="0.35">
      <c r="A626" t="s">
        <v>660</v>
      </c>
      <c r="B626" t="s">
        <v>16</v>
      </c>
      <c r="C626" t="s">
        <v>17</v>
      </c>
      <c r="D626">
        <v>1</v>
      </c>
      <c r="E626">
        <v>465.49</v>
      </c>
      <c r="F626" t="s">
        <v>32</v>
      </c>
      <c r="G626" s="1">
        <v>46053</v>
      </c>
    </row>
    <row r="627" spans="1:7" x14ac:dyDescent="0.35">
      <c r="A627" t="s">
        <v>661</v>
      </c>
      <c r="B627" t="s">
        <v>12</v>
      </c>
      <c r="C627" t="s">
        <v>13</v>
      </c>
      <c r="D627">
        <v>3</v>
      </c>
      <c r="E627">
        <v>1385.08</v>
      </c>
      <c r="F627" t="s">
        <v>32</v>
      </c>
      <c r="G627" s="1">
        <v>46200</v>
      </c>
    </row>
    <row r="628" spans="1:7" x14ac:dyDescent="0.35">
      <c r="A628" t="s">
        <v>662</v>
      </c>
      <c r="B628" t="s">
        <v>72</v>
      </c>
      <c r="C628" t="s">
        <v>13</v>
      </c>
      <c r="D628">
        <v>5</v>
      </c>
      <c r="E628">
        <v>2150.92</v>
      </c>
      <c r="F628" t="s">
        <v>50</v>
      </c>
      <c r="G628" s="1">
        <v>46058</v>
      </c>
    </row>
    <row r="629" spans="1:7" x14ac:dyDescent="0.35">
      <c r="A629" t="s">
        <v>663</v>
      </c>
      <c r="B629" t="s">
        <v>16</v>
      </c>
      <c r="C629" t="s">
        <v>17</v>
      </c>
      <c r="D629">
        <v>4</v>
      </c>
      <c r="E629">
        <v>443.07</v>
      </c>
      <c r="F629" t="s">
        <v>22</v>
      </c>
      <c r="G629" s="1">
        <v>46185</v>
      </c>
    </row>
    <row r="630" spans="1:7" x14ac:dyDescent="0.35">
      <c r="A630" t="s">
        <v>664</v>
      </c>
      <c r="B630" t="s">
        <v>80</v>
      </c>
      <c r="C630" t="s">
        <v>39</v>
      </c>
      <c r="D630">
        <v>2</v>
      </c>
      <c r="E630">
        <v>4246.13</v>
      </c>
      <c r="F630" t="s">
        <v>22</v>
      </c>
      <c r="G630" s="1">
        <v>46096</v>
      </c>
    </row>
    <row r="631" spans="1:7" x14ac:dyDescent="0.35">
      <c r="A631" t="s">
        <v>665</v>
      </c>
      <c r="B631" t="s">
        <v>72</v>
      </c>
      <c r="C631" t="s">
        <v>13</v>
      </c>
      <c r="D631">
        <v>2</v>
      </c>
      <c r="E631">
        <v>2118.42</v>
      </c>
      <c r="F631" t="s">
        <v>22</v>
      </c>
      <c r="G631" s="1">
        <v>46181</v>
      </c>
    </row>
    <row r="632" spans="1:7" x14ac:dyDescent="0.35">
      <c r="A632" t="s">
        <v>666</v>
      </c>
      <c r="B632" t="s">
        <v>91</v>
      </c>
      <c r="C632" t="s">
        <v>13</v>
      </c>
      <c r="D632">
        <v>3</v>
      </c>
      <c r="E632">
        <v>59970.26</v>
      </c>
      <c r="F632" t="s">
        <v>22</v>
      </c>
      <c r="G632" s="1">
        <v>46057</v>
      </c>
    </row>
    <row r="633" spans="1:7" x14ac:dyDescent="0.35">
      <c r="A633" t="s">
        <v>667</v>
      </c>
      <c r="B633" t="s">
        <v>12</v>
      </c>
      <c r="C633" t="s">
        <v>13</v>
      </c>
      <c r="D633">
        <v>4</v>
      </c>
      <c r="E633">
        <v>1639.15</v>
      </c>
      <c r="F633" t="s">
        <v>14</v>
      </c>
      <c r="G633" s="1">
        <v>46190</v>
      </c>
    </row>
    <row r="634" spans="1:7" x14ac:dyDescent="0.35">
      <c r="A634" t="s">
        <v>668</v>
      </c>
      <c r="B634" t="s">
        <v>44</v>
      </c>
      <c r="C634" t="s">
        <v>39</v>
      </c>
      <c r="D634">
        <v>4</v>
      </c>
      <c r="E634">
        <v>3629.29</v>
      </c>
      <c r="F634" t="s">
        <v>48</v>
      </c>
      <c r="G634" s="1">
        <v>46136</v>
      </c>
    </row>
    <row r="635" spans="1:7" x14ac:dyDescent="0.35">
      <c r="A635" t="s">
        <v>669</v>
      </c>
      <c r="B635" t="s">
        <v>44</v>
      </c>
      <c r="C635" t="s">
        <v>39</v>
      </c>
      <c r="D635">
        <v>2</v>
      </c>
      <c r="E635">
        <v>3207.87</v>
      </c>
      <c r="F635" t="s">
        <v>46</v>
      </c>
      <c r="G635" s="1">
        <v>46079</v>
      </c>
    </row>
    <row r="636" spans="1:7" x14ac:dyDescent="0.35">
      <c r="A636" t="s">
        <v>670</v>
      </c>
      <c r="B636" t="s">
        <v>24</v>
      </c>
      <c r="C636" t="s">
        <v>25</v>
      </c>
      <c r="D636">
        <v>1</v>
      </c>
      <c r="E636">
        <v>763.02</v>
      </c>
      <c r="F636" t="s">
        <v>14</v>
      </c>
      <c r="G636" s="1">
        <v>46096</v>
      </c>
    </row>
    <row r="637" spans="1:7" x14ac:dyDescent="0.35">
      <c r="A637" t="s">
        <v>671</v>
      </c>
      <c r="B637" t="s">
        <v>72</v>
      </c>
      <c r="C637" t="s">
        <v>13</v>
      </c>
      <c r="D637">
        <v>4</v>
      </c>
      <c r="E637">
        <v>2228.89</v>
      </c>
      <c r="F637" t="s">
        <v>22</v>
      </c>
      <c r="G637" s="1">
        <v>46163</v>
      </c>
    </row>
    <row r="638" spans="1:7" x14ac:dyDescent="0.35">
      <c r="A638" t="s">
        <v>672</v>
      </c>
      <c r="B638" t="s">
        <v>80</v>
      </c>
      <c r="C638" t="s">
        <v>39</v>
      </c>
      <c r="D638">
        <v>1</v>
      </c>
      <c r="E638">
        <v>4261.08</v>
      </c>
      <c r="F638" t="s">
        <v>10</v>
      </c>
      <c r="G638" s="1">
        <v>46162</v>
      </c>
    </row>
    <row r="639" spans="1:7" x14ac:dyDescent="0.35">
      <c r="A639" t="s">
        <v>673</v>
      </c>
      <c r="B639" t="s">
        <v>38</v>
      </c>
      <c r="C639" t="s">
        <v>39</v>
      </c>
      <c r="D639">
        <v>3</v>
      </c>
      <c r="E639">
        <v>6554.66</v>
      </c>
      <c r="F639" t="s">
        <v>46</v>
      </c>
      <c r="G639" s="1">
        <v>46135</v>
      </c>
    </row>
    <row r="640" spans="1:7" x14ac:dyDescent="0.35">
      <c r="A640" t="s">
        <v>674</v>
      </c>
      <c r="B640" t="s">
        <v>80</v>
      </c>
      <c r="C640" t="s">
        <v>39</v>
      </c>
      <c r="D640">
        <v>2</v>
      </c>
      <c r="E640">
        <v>4611.41</v>
      </c>
      <c r="F640" t="s">
        <v>18</v>
      </c>
      <c r="G640" s="1">
        <v>46190</v>
      </c>
    </row>
    <row r="641" spans="1:7" x14ac:dyDescent="0.35">
      <c r="A641" t="s">
        <v>675</v>
      </c>
      <c r="B641" t="s">
        <v>62</v>
      </c>
      <c r="C641" t="s">
        <v>25</v>
      </c>
      <c r="D641">
        <v>2</v>
      </c>
      <c r="E641">
        <v>1918.12</v>
      </c>
      <c r="F641" t="s">
        <v>46</v>
      </c>
      <c r="G641" s="1">
        <v>46138</v>
      </c>
    </row>
    <row r="642" spans="1:7" x14ac:dyDescent="0.35">
      <c r="A642" t="s">
        <v>676</v>
      </c>
      <c r="B642" t="s">
        <v>24</v>
      </c>
      <c r="C642" t="s">
        <v>25</v>
      </c>
      <c r="D642">
        <v>3</v>
      </c>
      <c r="E642">
        <v>856.88</v>
      </c>
      <c r="F642" t="s">
        <v>18</v>
      </c>
      <c r="G642" s="1">
        <v>46135</v>
      </c>
    </row>
    <row r="643" spans="1:7" x14ac:dyDescent="0.35">
      <c r="A643" t="s">
        <v>677</v>
      </c>
      <c r="B643" t="s">
        <v>38</v>
      </c>
      <c r="C643" t="s">
        <v>39</v>
      </c>
      <c r="D643">
        <v>1</v>
      </c>
      <c r="E643">
        <v>6858.32</v>
      </c>
      <c r="F643" t="s">
        <v>29</v>
      </c>
      <c r="G643" s="1">
        <v>46076</v>
      </c>
    </row>
    <row r="644" spans="1:7" x14ac:dyDescent="0.35">
      <c r="A644" t="s">
        <v>678</v>
      </c>
      <c r="B644" t="s">
        <v>62</v>
      </c>
      <c r="C644" t="s">
        <v>25</v>
      </c>
      <c r="D644">
        <v>5</v>
      </c>
      <c r="E644">
        <v>2074.62</v>
      </c>
      <c r="F644" t="s">
        <v>50</v>
      </c>
      <c r="G644" s="1">
        <v>46184</v>
      </c>
    </row>
    <row r="645" spans="1:7" x14ac:dyDescent="0.35">
      <c r="A645" t="s">
        <v>679</v>
      </c>
      <c r="B645" t="s">
        <v>28</v>
      </c>
      <c r="C645" t="s">
        <v>9</v>
      </c>
      <c r="D645">
        <v>2</v>
      </c>
      <c r="E645">
        <v>5115.13</v>
      </c>
      <c r="F645" t="s">
        <v>29</v>
      </c>
      <c r="G645" s="1">
        <v>46075</v>
      </c>
    </row>
    <row r="646" spans="1:7" x14ac:dyDescent="0.35">
      <c r="A646" t="s">
        <v>680</v>
      </c>
      <c r="B646" t="s">
        <v>62</v>
      </c>
      <c r="C646" t="s">
        <v>25</v>
      </c>
      <c r="D646">
        <v>1</v>
      </c>
      <c r="E646">
        <v>2027.02</v>
      </c>
      <c r="F646" t="s">
        <v>14</v>
      </c>
      <c r="G646" s="1">
        <v>46094</v>
      </c>
    </row>
    <row r="647" spans="1:7" x14ac:dyDescent="0.35">
      <c r="A647" t="s">
        <v>681</v>
      </c>
      <c r="B647" t="s">
        <v>16</v>
      </c>
      <c r="C647" t="s">
        <v>17</v>
      </c>
      <c r="D647">
        <v>5</v>
      </c>
      <c r="E647">
        <v>420.15</v>
      </c>
      <c r="F647" t="s">
        <v>10</v>
      </c>
      <c r="G647" s="1">
        <v>46097</v>
      </c>
    </row>
    <row r="648" spans="1:7" x14ac:dyDescent="0.35">
      <c r="A648" t="s">
        <v>682</v>
      </c>
      <c r="B648" t="s">
        <v>16</v>
      </c>
      <c r="C648" t="s">
        <v>17</v>
      </c>
      <c r="D648">
        <v>3</v>
      </c>
      <c r="E648">
        <v>490.72</v>
      </c>
      <c r="F648" t="s">
        <v>14</v>
      </c>
      <c r="G648" s="1">
        <v>46196</v>
      </c>
    </row>
    <row r="649" spans="1:7" x14ac:dyDescent="0.35">
      <c r="A649" t="s">
        <v>683</v>
      </c>
      <c r="B649" t="s">
        <v>38</v>
      </c>
      <c r="C649" t="s">
        <v>39</v>
      </c>
      <c r="D649">
        <v>1</v>
      </c>
      <c r="E649">
        <v>6026.27</v>
      </c>
      <c r="F649" t="s">
        <v>48</v>
      </c>
      <c r="G649" s="1">
        <v>46038</v>
      </c>
    </row>
    <row r="650" spans="1:7" x14ac:dyDescent="0.35">
      <c r="A650" t="s">
        <v>684</v>
      </c>
      <c r="B650" t="s">
        <v>24</v>
      </c>
      <c r="C650" t="s">
        <v>25</v>
      </c>
      <c r="D650">
        <v>2</v>
      </c>
      <c r="E650">
        <v>831.19</v>
      </c>
      <c r="F650" t="s">
        <v>26</v>
      </c>
      <c r="G650" s="1">
        <v>46086</v>
      </c>
    </row>
    <row r="651" spans="1:7" x14ac:dyDescent="0.35">
      <c r="A651" t="s">
        <v>685</v>
      </c>
      <c r="B651" t="s">
        <v>72</v>
      </c>
      <c r="C651" t="s">
        <v>13</v>
      </c>
      <c r="D651">
        <v>3</v>
      </c>
      <c r="E651">
        <v>2344.5300000000002</v>
      </c>
      <c r="F651" t="s">
        <v>48</v>
      </c>
      <c r="G651" s="1">
        <v>46148</v>
      </c>
    </row>
    <row r="652" spans="1:7" x14ac:dyDescent="0.35">
      <c r="A652" t="s">
        <v>686</v>
      </c>
      <c r="B652" t="s">
        <v>72</v>
      </c>
      <c r="C652" t="s">
        <v>13</v>
      </c>
      <c r="D652">
        <v>5</v>
      </c>
      <c r="E652">
        <v>2258.2600000000002</v>
      </c>
      <c r="F652" t="s">
        <v>48</v>
      </c>
      <c r="G652" s="1">
        <v>46119</v>
      </c>
    </row>
    <row r="653" spans="1:7" x14ac:dyDescent="0.35">
      <c r="A653" t="s">
        <v>687</v>
      </c>
      <c r="B653" t="s">
        <v>44</v>
      </c>
      <c r="C653" t="s">
        <v>39</v>
      </c>
      <c r="D653">
        <v>1</v>
      </c>
      <c r="E653">
        <v>3593.54</v>
      </c>
      <c r="F653" t="s">
        <v>18</v>
      </c>
      <c r="G653" s="1">
        <v>46126</v>
      </c>
    </row>
    <row r="654" spans="1:7" x14ac:dyDescent="0.35">
      <c r="A654" t="s">
        <v>688</v>
      </c>
      <c r="B654" t="s">
        <v>80</v>
      </c>
      <c r="C654" t="s">
        <v>39</v>
      </c>
      <c r="D654">
        <v>3</v>
      </c>
      <c r="E654">
        <v>4363.55</v>
      </c>
      <c r="F654" t="s">
        <v>32</v>
      </c>
      <c r="G654" s="1">
        <v>46139</v>
      </c>
    </row>
    <row r="655" spans="1:7" x14ac:dyDescent="0.35">
      <c r="A655" t="s">
        <v>689</v>
      </c>
      <c r="B655" t="s">
        <v>44</v>
      </c>
      <c r="C655" t="s">
        <v>39</v>
      </c>
      <c r="D655">
        <v>3</v>
      </c>
      <c r="E655">
        <v>3557.37</v>
      </c>
      <c r="F655" t="s">
        <v>18</v>
      </c>
      <c r="G655" s="1">
        <v>46140</v>
      </c>
    </row>
    <row r="656" spans="1:7" x14ac:dyDescent="0.35">
      <c r="A656" t="s">
        <v>690</v>
      </c>
      <c r="B656" t="s">
        <v>8</v>
      </c>
      <c r="C656" t="s">
        <v>9</v>
      </c>
      <c r="D656">
        <v>3</v>
      </c>
      <c r="E656">
        <v>1926.04</v>
      </c>
      <c r="F656" t="s">
        <v>14</v>
      </c>
      <c r="G656" s="1">
        <v>46124</v>
      </c>
    </row>
    <row r="657" spans="1:7" x14ac:dyDescent="0.35">
      <c r="A657" t="s">
        <v>691</v>
      </c>
      <c r="B657" t="s">
        <v>12</v>
      </c>
      <c r="C657" t="s">
        <v>13</v>
      </c>
      <c r="D657">
        <v>4</v>
      </c>
      <c r="E657">
        <v>1597.45</v>
      </c>
      <c r="F657" t="s">
        <v>22</v>
      </c>
      <c r="G657" s="1">
        <v>46091</v>
      </c>
    </row>
    <row r="658" spans="1:7" x14ac:dyDescent="0.35">
      <c r="A658" t="s">
        <v>692</v>
      </c>
      <c r="B658" t="s">
        <v>55</v>
      </c>
      <c r="C658" t="s">
        <v>25</v>
      </c>
      <c r="D658">
        <v>3</v>
      </c>
      <c r="E658">
        <v>2417.91</v>
      </c>
      <c r="F658" t="s">
        <v>50</v>
      </c>
      <c r="G658" s="1">
        <v>46056</v>
      </c>
    </row>
    <row r="659" spans="1:7" x14ac:dyDescent="0.35">
      <c r="A659" t="s">
        <v>693</v>
      </c>
      <c r="B659" t="s">
        <v>16</v>
      </c>
      <c r="C659" t="s">
        <v>17</v>
      </c>
      <c r="D659">
        <v>4</v>
      </c>
      <c r="E659">
        <v>475.95</v>
      </c>
      <c r="F659" t="s">
        <v>46</v>
      </c>
      <c r="G659" s="1">
        <v>46034</v>
      </c>
    </row>
    <row r="660" spans="1:7" x14ac:dyDescent="0.35">
      <c r="A660" t="s">
        <v>694</v>
      </c>
      <c r="B660" t="s">
        <v>31</v>
      </c>
      <c r="C660" t="s">
        <v>13</v>
      </c>
      <c r="D660">
        <v>4</v>
      </c>
      <c r="E660">
        <v>16258.61</v>
      </c>
      <c r="F660" t="s">
        <v>26</v>
      </c>
      <c r="G660" s="1">
        <v>46135</v>
      </c>
    </row>
    <row r="661" spans="1:7" x14ac:dyDescent="0.35">
      <c r="A661" t="s">
        <v>695</v>
      </c>
      <c r="B661" t="s">
        <v>44</v>
      </c>
      <c r="C661" t="s">
        <v>39</v>
      </c>
      <c r="D661">
        <v>1</v>
      </c>
      <c r="E661">
        <v>3844.29</v>
      </c>
      <c r="F661" t="s">
        <v>48</v>
      </c>
      <c r="G661" s="1">
        <v>46074</v>
      </c>
    </row>
    <row r="662" spans="1:7" x14ac:dyDescent="0.35">
      <c r="A662" t="s">
        <v>696</v>
      </c>
      <c r="B662" t="s">
        <v>21</v>
      </c>
      <c r="C662" t="s">
        <v>13</v>
      </c>
      <c r="D662">
        <v>2</v>
      </c>
      <c r="E662">
        <v>30140.03</v>
      </c>
      <c r="F662" t="s">
        <v>10</v>
      </c>
      <c r="G662" s="1">
        <v>46063</v>
      </c>
    </row>
    <row r="663" spans="1:7" x14ac:dyDescent="0.35">
      <c r="A663" t="s">
        <v>697</v>
      </c>
      <c r="B663" t="s">
        <v>38</v>
      </c>
      <c r="C663" t="s">
        <v>39</v>
      </c>
      <c r="D663">
        <v>3</v>
      </c>
      <c r="E663">
        <v>5971.34</v>
      </c>
      <c r="F663" t="s">
        <v>32</v>
      </c>
      <c r="G663" s="1">
        <v>46087</v>
      </c>
    </row>
    <row r="664" spans="1:7" x14ac:dyDescent="0.35">
      <c r="A664" t="s">
        <v>698</v>
      </c>
      <c r="B664" t="s">
        <v>31</v>
      </c>
      <c r="C664" t="s">
        <v>13</v>
      </c>
      <c r="D664">
        <v>3</v>
      </c>
      <c r="E664">
        <v>18592.23</v>
      </c>
      <c r="F664" t="s">
        <v>26</v>
      </c>
      <c r="G664" s="1">
        <v>46036</v>
      </c>
    </row>
    <row r="665" spans="1:7" x14ac:dyDescent="0.35">
      <c r="A665" t="s">
        <v>699</v>
      </c>
      <c r="B665" t="s">
        <v>28</v>
      </c>
      <c r="C665" t="s">
        <v>9</v>
      </c>
      <c r="D665">
        <v>3</v>
      </c>
      <c r="E665">
        <v>5224.9399999999996</v>
      </c>
      <c r="F665" t="s">
        <v>29</v>
      </c>
      <c r="G665" s="1">
        <v>46132</v>
      </c>
    </row>
    <row r="666" spans="1:7" x14ac:dyDescent="0.35">
      <c r="A666" t="s">
        <v>700</v>
      </c>
      <c r="B666" t="s">
        <v>8</v>
      </c>
      <c r="C666" t="s">
        <v>9</v>
      </c>
      <c r="D666">
        <v>1</v>
      </c>
      <c r="E666">
        <v>1873.33</v>
      </c>
      <c r="F666" t="s">
        <v>46</v>
      </c>
      <c r="G666" s="1">
        <v>46077</v>
      </c>
    </row>
    <row r="667" spans="1:7" x14ac:dyDescent="0.35">
      <c r="A667" t="s">
        <v>701</v>
      </c>
      <c r="B667" t="s">
        <v>44</v>
      </c>
      <c r="C667" t="s">
        <v>39</v>
      </c>
      <c r="D667">
        <v>1</v>
      </c>
      <c r="E667">
        <v>3242.89</v>
      </c>
      <c r="F667" t="s">
        <v>29</v>
      </c>
      <c r="G667" s="1">
        <v>46155</v>
      </c>
    </row>
    <row r="668" spans="1:7" x14ac:dyDescent="0.35">
      <c r="A668" t="s">
        <v>702</v>
      </c>
      <c r="B668" t="s">
        <v>8</v>
      </c>
      <c r="C668" t="s">
        <v>9</v>
      </c>
      <c r="D668">
        <v>4</v>
      </c>
      <c r="E668">
        <v>1623.34</v>
      </c>
      <c r="F668" t="s">
        <v>32</v>
      </c>
      <c r="G668" s="1">
        <v>46053</v>
      </c>
    </row>
    <row r="669" spans="1:7" x14ac:dyDescent="0.35">
      <c r="A669" t="s">
        <v>703</v>
      </c>
      <c r="B669" t="s">
        <v>38</v>
      </c>
      <c r="C669" t="s">
        <v>39</v>
      </c>
      <c r="D669">
        <v>4</v>
      </c>
      <c r="E669">
        <v>6752.24</v>
      </c>
      <c r="F669" t="s">
        <v>22</v>
      </c>
      <c r="G669" s="1">
        <v>46041</v>
      </c>
    </row>
    <row r="670" spans="1:7" x14ac:dyDescent="0.35">
      <c r="A670" t="s">
        <v>704</v>
      </c>
      <c r="B670" t="s">
        <v>12</v>
      </c>
      <c r="C670" t="s">
        <v>13</v>
      </c>
      <c r="D670">
        <v>4</v>
      </c>
      <c r="E670">
        <v>1376.8</v>
      </c>
      <c r="F670" t="s">
        <v>18</v>
      </c>
      <c r="G670" s="1">
        <v>46049</v>
      </c>
    </row>
    <row r="671" spans="1:7" x14ac:dyDescent="0.35">
      <c r="A671" t="s">
        <v>705</v>
      </c>
      <c r="B671" t="s">
        <v>55</v>
      </c>
      <c r="C671" t="s">
        <v>25</v>
      </c>
      <c r="D671">
        <v>3</v>
      </c>
      <c r="E671">
        <v>2689.42</v>
      </c>
      <c r="F671" t="s">
        <v>26</v>
      </c>
      <c r="G671" s="1">
        <v>46120</v>
      </c>
    </row>
    <row r="672" spans="1:7" x14ac:dyDescent="0.35">
      <c r="A672" t="s">
        <v>706</v>
      </c>
      <c r="B672" t="s">
        <v>62</v>
      </c>
      <c r="C672" t="s">
        <v>25</v>
      </c>
      <c r="D672">
        <v>2</v>
      </c>
      <c r="E672">
        <v>2055.6</v>
      </c>
      <c r="F672" t="s">
        <v>26</v>
      </c>
      <c r="G672" s="1">
        <v>46040</v>
      </c>
    </row>
    <row r="673" spans="1:7" x14ac:dyDescent="0.35">
      <c r="A673" t="s">
        <v>707</v>
      </c>
      <c r="B673" t="s">
        <v>80</v>
      </c>
      <c r="C673" t="s">
        <v>39</v>
      </c>
      <c r="D673">
        <v>5</v>
      </c>
      <c r="E673">
        <v>3787.12</v>
      </c>
      <c r="F673" t="s">
        <v>26</v>
      </c>
      <c r="G673" s="1">
        <v>46135</v>
      </c>
    </row>
    <row r="674" spans="1:7" x14ac:dyDescent="0.35">
      <c r="A674" t="s">
        <v>708</v>
      </c>
      <c r="B674" t="s">
        <v>55</v>
      </c>
      <c r="C674" t="s">
        <v>25</v>
      </c>
      <c r="D674">
        <v>2</v>
      </c>
      <c r="E674">
        <v>2563.0100000000002</v>
      </c>
      <c r="F674" t="s">
        <v>26</v>
      </c>
      <c r="G674" s="1">
        <v>46128</v>
      </c>
    </row>
    <row r="675" spans="1:7" x14ac:dyDescent="0.35">
      <c r="A675" t="s">
        <v>709</v>
      </c>
      <c r="B675" t="s">
        <v>16</v>
      </c>
      <c r="C675" t="s">
        <v>17</v>
      </c>
      <c r="D675">
        <v>4</v>
      </c>
      <c r="E675">
        <v>482.4</v>
      </c>
      <c r="F675" t="s">
        <v>18</v>
      </c>
      <c r="G675" s="1">
        <v>46048</v>
      </c>
    </row>
    <row r="676" spans="1:7" x14ac:dyDescent="0.35">
      <c r="A676" t="s">
        <v>710</v>
      </c>
      <c r="B676" t="s">
        <v>72</v>
      </c>
      <c r="C676" t="s">
        <v>13</v>
      </c>
      <c r="D676">
        <v>1</v>
      </c>
      <c r="E676">
        <v>2239.41</v>
      </c>
      <c r="F676" t="s">
        <v>48</v>
      </c>
      <c r="G676" s="1">
        <v>46112</v>
      </c>
    </row>
    <row r="677" spans="1:7" x14ac:dyDescent="0.35">
      <c r="A677" t="s">
        <v>711</v>
      </c>
      <c r="B677" t="s">
        <v>28</v>
      </c>
      <c r="C677" t="s">
        <v>9</v>
      </c>
      <c r="D677">
        <v>3</v>
      </c>
      <c r="E677">
        <v>5290.02</v>
      </c>
      <c r="F677" t="s">
        <v>29</v>
      </c>
      <c r="G677" s="1">
        <v>46093</v>
      </c>
    </row>
    <row r="678" spans="1:7" x14ac:dyDescent="0.35">
      <c r="A678" t="s">
        <v>712</v>
      </c>
      <c r="B678" t="s">
        <v>8</v>
      </c>
      <c r="C678" t="s">
        <v>9</v>
      </c>
      <c r="D678">
        <v>1</v>
      </c>
      <c r="E678">
        <v>1709.34</v>
      </c>
      <c r="F678" t="s">
        <v>50</v>
      </c>
      <c r="G678" s="1">
        <v>46176</v>
      </c>
    </row>
    <row r="679" spans="1:7" x14ac:dyDescent="0.35">
      <c r="A679" t="s">
        <v>713</v>
      </c>
      <c r="B679" t="s">
        <v>21</v>
      </c>
      <c r="C679" t="s">
        <v>13</v>
      </c>
      <c r="D679">
        <v>5</v>
      </c>
      <c r="E679">
        <v>26795.56</v>
      </c>
      <c r="F679" t="s">
        <v>46</v>
      </c>
      <c r="G679" s="1">
        <v>46191</v>
      </c>
    </row>
    <row r="680" spans="1:7" x14ac:dyDescent="0.35">
      <c r="A680" t="s">
        <v>714</v>
      </c>
      <c r="B680" t="s">
        <v>24</v>
      </c>
      <c r="C680" t="s">
        <v>25</v>
      </c>
      <c r="D680">
        <v>2</v>
      </c>
      <c r="E680">
        <v>801.84</v>
      </c>
      <c r="F680" t="s">
        <v>14</v>
      </c>
      <c r="G680" s="1">
        <v>46071</v>
      </c>
    </row>
    <row r="681" spans="1:7" x14ac:dyDescent="0.35">
      <c r="A681" t="s">
        <v>715</v>
      </c>
      <c r="B681" t="s">
        <v>21</v>
      </c>
      <c r="C681" t="s">
        <v>13</v>
      </c>
      <c r="D681">
        <v>4</v>
      </c>
      <c r="E681">
        <v>26855.040000000001</v>
      </c>
      <c r="F681" t="s">
        <v>46</v>
      </c>
      <c r="G681" s="1">
        <v>46084</v>
      </c>
    </row>
    <row r="682" spans="1:7" x14ac:dyDescent="0.35">
      <c r="A682" t="s">
        <v>716</v>
      </c>
      <c r="B682" t="s">
        <v>44</v>
      </c>
      <c r="C682" t="s">
        <v>39</v>
      </c>
      <c r="D682">
        <v>4</v>
      </c>
      <c r="E682">
        <v>3228.92</v>
      </c>
      <c r="F682" t="s">
        <v>22</v>
      </c>
      <c r="G682" s="1">
        <v>46186</v>
      </c>
    </row>
    <row r="683" spans="1:7" x14ac:dyDescent="0.35">
      <c r="A683" t="s">
        <v>717</v>
      </c>
      <c r="B683" t="s">
        <v>16</v>
      </c>
      <c r="C683" t="s">
        <v>17</v>
      </c>
      <c r="D683">
        <v>1</v>
      </c>
      <c r="E683">
        <v>452.55</v>
      </c>
      <c r="F683" t="s">
        <v>46</v>
      </c>
      <c r="G683" s="1">
        <v>46115</v>
      </c>
    </row>
    <row r="684" spans="1:7" x14ac:dyDescent="0.35">
      <c r="A684" t="s">
        <v>718</v>
      </c>
      <c r="B684" t="s">
        <v>55</v>
      </c>
      <c r="C684" t="s">
        <v>25</v>
      </c>
      <c r="D684">
        <v>2</v>
      </c>
      <c r="E684">
        <v>2442.44</v>
      </c>
      <c r="F684" t="s">
        <v>50</v>
      </c>
      <c r="G684" s="1">
        <v>46130</v>
      </c>
    </row>
    <row r="685" spans="1:7" x14ac:dyDescent="0.35">
      <c r="A685" t="s">
        <v>719</v>
      </c>
      <c r="B685" t="s">
        <v>55</v>
      </c>
      <c r="C685" t="s">
        <v>25</v>
      </c>
      <c r="D685">
        <v>5</v>
      </c>
      <c r="E685">
        <v>2590.4299999999998</v>
      </c>
      <c r="F685" t="s">
        <v>22</v>
      </c>
      <c r="G685" s="1">
        <v>46041</v>
      </c>
    </row>
    <row r="686" spans="1:7" x14ac:dyDescent="0.35">
      <c r="A686" t="s">
        <v>720</v>
      </c>
      <c r="B686" t="s">
        <v>91</v>
      </c>
      <c r="C686" t="s">
        <v>13</v>
      </c>
      <c r="D686">
        <v>5</v>
      </c>
      <c r="E686">
        <v>50242.86</v>
      </c>
      <c r="F686" t="s">
        <v>10</v>
      </c>
      <c r="G686" s="1">
        <v>46078</v>
      </c>
    </row>
    <row r="687" spans="1:7" x14ac:dyDescent="0.35">
      <c r="A687" t="s">
        <v>721</v>
      </c>
      <c r="B687" t="s">
        <v>91</v>
      </c>
      <c r="C687" t="s">
        <v>13</v>
      </c>
      <c r="D687">
        <v>1</v>
      </c>
      <c r="E687">
        <v>59935.48</v>
      </c>
      <c r="F687" t="s">
        <v>48</v>
      </c>
      <c r="G687" s="1">
        <v>46152</v>
      </c>
    </row>
    <row r="688" spans="1:7" x14ac:dyDescent="0.35">
      <c r="A688" t="s">
        <v>722</v>
      </c>
      <c r="B688" t="s">
        <v>24</v>
      </c>
      <c r="C688" t="s">
        <v>25</v>
      </c>
      <c r="D688">
        <v>5</v>
      </c>
      <c r="E688">
        <v>841.68</v>
      </c>
      <c r="F688" t="s">
        <v>48</v>
      </c>
      <c r="G688" s="1">
        <v>46202</v>
      </c>
    </row>
    <row r="689" spans="1:7" x14ac:dyDescent="0.35">
      <c r="A689" t="s">
        <v>723</v>
      </c>
      <c r="B689" t="s">
        <v>28</v>
      </c>
      <c r="C689" t="s">
        <v>9</v>
      </c>
      <c r="D689">
        <v>1</v>
      </c>
      <c r="E689">
        <v>5139.51</v>
      </c>
      <c r="F689" t="s">
        <v>14</v>
      </c>
      <c r="G689" s="1">
        <v>46180</v>
      </c>
    </row>
    <row r="690" spans="1:7" x14ac:dyDescent="0.35">
      <c r="A690" t="s">
        <v>724</v>
      </c>
      <c r="B690" t="s">
        <v>72</v>
      </c>
      <c r="C690" t="s">
        <v>13</v>
      </c>
      <c r="D690">
        <v>3</v>
      </c>
      <c r="E690">
        <v>2016.78</v>
      </c>
      <c r="F690" t="s">
        <v>18</v>
      </c>
      <c r="G690" s="1">
        <v>46153</v>
      </c>
    </row>
    <row r="691" spans="1:7" x14ac:dyDescent="0.35">
      <c r="A691" t="s">
        <v>725</v>
      </c>
      <c r="B691" t="s">
        <v>12</v>
      </c>
      <c r="C691" t="s">
        <v>13</v>
      </c>
      <c r="D691">
        <v>2</v>
      </c>
      <c r="E691">
        <v>1510.92</v>
      </c>
      <c r="F691" t="s">
        <v>48</v>
      </c>
      <c r="G691" s="1">
        <v>46173</v>
      </c>
    </row>
    <row r="692" spans="1:7" x14ac:dyDescent="0.35">
      <c r="A692" t="s">
        <v>726</v>
      </c>
      <c r="B692" t="s">
        <v>8</v>
      </c>
      <c r="C692" t="s">
        <v>9</v>
      </c>
      <c r="D692">
        <v>1</v>
      </c>
      <c r="E692">
        <v>1731.66</v>
      </c>
      <c r="F692" t="s">
        <v>48</v>
      </c>
      <c r="G692" s="1">
        <v>46084</v>
      </c>
    </row>
    <row r="693" spans="1:7" x14ac:dyDescent="0.35">
      <c r="A693" t="s">
        <v>727</v>
      </c>
      <c r="B693" t="s">
        <v>91</v>
      </c>
      <c r="C693" t="s">
        <v>13</v>
      </c>
      <c r="D693">
        <v>2</v>
      </c>
      <c r="E693">
        <v>50448.34</v>
      </c>
      <c r="F693" t="s">
        <v>48</v>
      </c>
      <c r="G693" s="1">
        <v>46052</v>
      </c>
    </row>
    <row r="694" spans="1:7" x14ac:dyDescent="0.35">
      <c r="A694" t="s">
        <v>728</v>
      </c>
      <c r="B694" t="s">
        <v>44</v>
      </c>
      <c r="C694" t="s">
        <v>39</v>
      </c>
      <c r="D694">
        <v>5</v>
      </c>
      <c r="E694">
        <v>3576.18</v>
      </c>
      <c r="F694" t="s">
        <v>10</v>
      </c>
      <c r="G694" s="1">
        <v>46193</v>
      </c>
    </row>
    <row r="695" spans="1:7" x14ac:dyDescent="0.35">
      <c r="A695" t="s">
        <v>729</v>
      </c>
      <c r="B695" t="s">
        <v>21</v>
      </c>
      <c r="C695" t="s">
        <v>13</v>
      </c>
      <c r="D695">
        <v>2</v>
      </c>
      <c r="E695">
        <v>25868.880000000001</v>
      </c>
      <c r="F695" t="s">
        <v>26</v>
      </c>
      <c r="G695" s="1">
        <v>46202</v>
      </c>
    </row>
    <row r="696" spans="1:7" x14ac:dyDescent="0.35">
      <c r="A696" t="s">
        <v>730</v>
      </c>
      <c r="B696" t="s">
        <v>91</v>
      </c>
      <c r="C696" t="s">
        <v>13</v>
      </c>
      <c r="D696">
        <v>2</v>
      </c>
      <c r="E696">
        <v>54960.54</v>
      </c>
      <c r="F696" t="s">
        <v>32</v>
      </c>
      <c r="G696" s="1">
        <v>46156</v>
      </c>
    </row>
    <row r="697" spans="1:7" x14ac:dyDescent="0.35">
      <c r="A697" t="s">
        <v>731</v>
      </c>
      <c r="B697" t="s">
        <v>80</v>
      </c>
      <c r="C697" t="s">
        <v>39</v>
      </c>
      <c r="D697">
        <v>3</v>
      </c>
      <c r="E697">
        <v>3920.25</v>
      </c>
      <c r="F697" t="s">
        <v>26</v>
      </c>
      <c r="G697" s="1">
        <v>46091</v>
      </c>
    </row>
    <row r="698" spans="1:7" x14ac:dyDescent="0.35">
      <c r="A698" t="s">
        <v>732</v>
      </c>
      <c r="B698" t="s">
        <v>21</v>
      </c>
      <c r="C698" t="s">
        <v>13</v>
      </c>
      <c r="D698">
        <v>1</v>
      </c>
      <c r="E698">
        <v>29520.01</v>
      </c>
      <c r="F698" t="s">
        <v>46</v>
      </c>
      <c r="G698" s="1">
        <v>46108</v>
      </c>
    </row>
    <row r="699" spans="1:7" x14ac:dyDescent="0.35">
      <c r="A699" t="s">
        <v>733</v>
      </c>
      <c r="B699" t="s">
        <v>62</v>
      </c>
      <c r="C699" t="s">
        <v>25</v>
      </c>
      <c r="D699">
        <v>4</v>
      </c>
      <c r="E699">
        <v>1907.84</v>
      </c>
      <c r="F699" t="s">
        <v>18</v>
      </c>
      <c r="G699" s="1">
        <v>46090</v>
      </c>
    </row>
    <row r="700" spans="1:7" x14ac:dyDescent="0.35">
      <c r="A700" t="s">
        <v>734</v>
      </c>
      <c r="B700" t="s">
        <v>21</v>
      </c>
      <c r="C700" t="s">
        <v>13</v>
      </c>
      <c r="D700">
        <v>5</v>
      </c>
      <c r="E700">
        <v>28714.18</v>
      </c>
      <c r="F700" t="s">
        <v>22</v>
      </c>
      <c r="G700" s="1">
        <v>46139</v>
      </c>
    </row>
    <row r="701" spans="1:7" x14ac:dyDescent="0.35">
      <c r="A701" t="s">
        <v>735</v>
      </c>
      <c r="B701" t="s">
        <v>80</v>
      </c>
      <c r="C701" t="s">
        <v>39</v>
      </c>
      <c r="D701">
        <v>3</v>
      </c>
      <c r="E701">
        <v>3826.57</v>
      </c>
      <c r="F701" t="s">
        <v>50</v>
      </c>
      <c r="G701" s="1">
        <v>46065</v>
      </c>
    </row>
    <row r="702" spans="1:7" x14ac:dyDescent="0.35">
      <c r="A702" t="s">
        <v>736</v>
      </c>
      <c r="B702" t="s">
        <v>55</v>
      </c>
      <c r="C702" t="s">
        <v>25</v>
      </c>
      <c r="D702">
        <v>2</v>
      </c>
      <c r="E702">
        <v>2376.61</v>
      </c>
      <c r="F702" t="s">
        <v>18</v>
      </c>
      <c r="G702" s="1">
        <v>46169</v>
      </c>
    </row>
    <row r="703" spans="1:7" x14ac:dyDescent="0.35">
      <c r="A703" t="s">
        <v>737</v>
      </c>
      <c r="B703" t="s">
        <v>8</v>
      </c>
      <c r="C703" t="s">
        <v>9</v>
      </c>
      <c r="D703">
        <v>1</v>
      </c>
      <c r="E703">
        <v>1702.23</v>
      </c>
      <c r="F703" t="s">
        <v>14</v>
      </c>
      <c r="G703" s="1">
        <v>46023</v>
      </c>
    </row>
    <row r="704" spans="1:7" x14ac:dyDescent="0.35">
      <c r="A704" t="s">
        <v>738</v>
      </c>
      <c r="B704" t="s">
        <v>91</v>
      </c>
      <c r="C704" t="s">
        <v>13</v>
      </c>
      <c r="D704">
        <v>1</v>
      </c>
      <c r="E704">
        <v>52190.07</v>
      </c>
      <c r="F704" t="s">
        <v>22</v>
      </c>
      <c r="G704" s="1">
        <v>46116</v>
      </c>
    </row>
    <row r="705" spans="1:7" x14ac:dyDescent="0.35">
      <c r="A705" t="s">
        <v>739</v>
      </c>
      <c r="B705" t="s">
        <v>28</v>
      </c>
      <c r="C705" t="s">
        <v>9</v>
      </c>
      <c r="D705">
        <v>2</v>
      </c>
      <c r="E705">
        <v>4678.03</v>
      </c>
      <c r="F705" t="s">
        <v>46</v>
      </c>
      <c r="G705" s="1">
        <v>46164</v>
      </c>
    </row>
    <row r="706" spans="1:7" x14ac:dyDescent="0.35">
      <c r="A706" t="s">
        <v>740</v>
      </c>
      <c r="B706" t="s">
        <v>62</v>
      </c>
      <c r="C706" t="s">
        <v>25</v>
      </c>
      <c r="D706">
        <v>4</v>
      </c>
      <c r="E706">
        <v>1888.86</v>
      </c>
      <c r="F706" t="s">
        <v>29</v>
      </c>
      <c r="G706" s="1">
        <v>46129</v>
      </c>
    </row>
    <row r="707" spans="1:7" x14ac:dyDescent="0.35">
      <c r="A707" t="s">
        <v>741</v>
      </c>
      <c r="B707" t="s">
        <v>21</v>
      </c>
      <c r="C707" t="s">
        <v>13</v>
      </c>
      <c r="D707">
        <v>3</v>
      </c>
      <c r="E707">
        <v>26719.040000000001</v>
      </c>
      <c r="F707" t="s">
        <v>18</v>
      </c>
      <c r="G707" s="1">
        <v>46169</v>
      </c>
    </row>
    <row r="708" spans="1:7" x14ac:dyDescent="0.35">
      <c r="A708" t="s">
        <v>742</v>
      </c>
      <c r="B708" t="s">
        <v>55</v>
      </c>
      <c r="C708" t="s">
        <v>25</v>
      </c>
      <c r="D708">
        <v>1</v>
      </c>
      <c r="E708">
        <v>2500.02</v>
      </c>
      <c r="F708" t="s">
        <v>46</v>
      </c>
      <c r="G708" s="1">
        <v>46068</v>
      </c>
    </row>
    <row r="709" spans="1:7" x14ac:dyDescent="0.35">
      <c r="A709" t="s">
        <v>743</v>
      </c>
      <c r="B709" t="s">
        <v>12</v>
      </c>
      <c r="C709" t="s">
        <v>13</v>
      </c>
      <c r="D709">
        <v>5</v>
      </c>
      <c r="E709">
        <v>1644.42</v>
      </c>
      <c r="F709" t="s">
        <v>48</v>
      </c>
      <c r="G709" s="1">
        <v>46040</v>
      </c>
    </row>
    <row r="710" spans="1:7" x14ac:dyDescent="0.35">
      <c r="A710" t="s">
        <v>744</v>
      </c>
      <c r="B710" t="s">
        <v>44</v>
      </c>
      <c r="C710" t="s">
        <v>39</v>
      </c>
      <c r="D710">
        <v>3</v>
      </c>
      <c r="E710">
        <v>3691.47</v>
      </c>
      <c r="F710" t="s">
        <v>10</v>
      </c>
      <c r="G710" s="1">
        <v>46106</v>
      </c>
    </row>
    <row r="711" spans="1:7" x14ac:dyDescent="0.35">
      <c r="A711" t="s">
        <v>745</v>
      </c>
      <c r="B711" t="s">
        <v>31</v>
      </c>
      <c r="C711" t="s">
        <v>13</v>
      </c>
      <c r="D711">
        <v>5</v>
      </c>
      <c r="E711">
        <v>17844.29</v>
      </c>
      <c r="F711" t="s">
        <v>32</v>
      </c>
      <c r="G711" s="1">
        <v>46074</v>
      </c>
    </row>
    <row r="712" spans="1:7" x14ac:dyDescent="0.35">
      <c r="A712" t="s">
        <v>746</v>
      </c>
      <c r="B712" t="s">
        <v>24</v>
      </c>
      <c r="C712" t="s">
        <v>25</v>
      </c>
      <c r="D712">
        <v>5</v>
      </c>
      <c r="E712">
        <v>844.46</v>
      </c>
      <c r="F712" t="s">
        <v>50</v>
      </c>
      <c r="G712" s="1">
        <v>46085</v>
      </c>
    </row>
    <row r="713" spans="1:7" x14ac:dyDescent="0.35">
      <c r="A713" t="s">
        <v>747</v>
      </c>
      <c r="B713" t="s">
        <v>44</v>
      </c>
      <c r="C713" t="s">
        <v>39</v>
      </c>
      <c r="D713">
        <v>3</v>
      </c>
      <c r="E713">
        <v>3564.18</v>
      </c>
      <c r="F713" t="s">
        <v>22</v>
      </c>
      <c r="G713" s="1">
        <v>46073</v>
      </c>
    </row>
    <row r="714" spans="1:7" x14ac:dyDescent="0.35">
      <c r="A714" t="s">
        <v>748</v>
      </c>
      <c r="B714" t="s">
        <v>21</v>
      </c>
      <c r="C714" t="s">
        <v>13</v>
      </c>
      <c r="D714">
        <v>5</v>
      </c>
      <c r="E714">
        <v>29458.7</v>
      </c>
      <c r="F714" t="s">
        <v>29</v>
      </c>
      <c r="G714" s="1">
        <v>46061</v>
      </c>
    </row>
    <row r="715" spans="1:7" x14ac:dyDescent="0.35">
      <c r="A715" t="s">
        <v>749</v>
      </c>
      <c r="B715" t="s">
        <v>91</v>
      </c>
      <c r="C715" t="s">
        <v>13</v>
      </c>
      <c r="D715">
        <v>4</v>
      </c>
      <c r="E715">
        <v>49763.01</v>
      </c>
      <c r="F715" t="s">
        <v>14</v>
      </c>
      <c r="G715" s="1">
        <v>46111</v>
      </c>
    </row>
    <row r="716" spans="1:7" x14ac:dyDescent="0.35">
      <c r="A716" t="s">
        <v>750</v>
      </c>
      <c r="B716" t="s">
        <v>8</v>
      </c>
      <c r="C716" t="s">
        <v>9</v>
      </c>
      <c r="D716">
        <v>1</v>
      </c>
      <c r="E716">
        <v>1962.36</v>
      </c>
      <c r="F716" t="s">
        <v>46</v>
      </c>
      <c r="G716" s="1">
        <v>46191</v>
      </c>
    </row>
    <row r="717" spans="1:7" x14ac:dyDescent="0.35">
      <c r="A717" t="s">
        <v>751</v>
      </c>
      <c r="B717" t="s">
        <v>28</v>
      </c>
      <c r="C717" t="s">
        <v>9</v>
      </c>
      <c r="D717">
        <v>3</v>
      </c>
      <c r="E717">
        <v>4603.03</v>
      </c>
      <c r="F717" t="s">
        <v>14</v>
      </c>
      <c r="G717" s="1">
        <v>46083</v>
      </c>
    </row>
    <row r="718" spans="1:7" x14ac:dyDescent="0.35">
      <c r="A718" t="s">
        <v>752</v>
      </c>
      <c r="B718" t="s">
        <v>28</v>
      </c>
      <c r="C718" t="s">
        <v>9</v>
      </c>
      <c r="D718">
        <v>4</v>
      </c>
      <c r="E718">
        <v>5460.09</v>
      </c>
      <c r="F718" t="s">
        <v>26</v>
      </c>
      <c r="G718" s="1">
        <v>46094</v>
      </c>
    </row>
    <row r="719" spans="1:7" x14ac:dyDescent="0.35">
      <c r="A719" t="s">
        <v>753</v>
      </c>
      <c r="B719" t="s">
        <v>31</v>
      </c>
      <c r="C719" t="s">
        <v>13</v>
      </c>
      <c r="D719">
        <v>1</v>
      </c>
      <c r="E719">
        <v>19516.59</v>
      </c>
      <c r="F719" t="s">
        <v>14</v>
      </c>
      <c r="G719" s="1">
        <v>46128</v>
      </c>
    </row>
    <row r="720" spans="1:7" x14ac:dyDescent="0.35">
      <c r="A720" t="s">
        <v>754</v>
      </c>
      <c r="B720" t="s">
        <v>21</v>
      </c>
      <c r="C720" t="s">
        <v>13</v>
      </c>
      <c r="D720">
        <v>3</v>
      </c>
      <c r="E720">
        <v>27767.360000000001</v>
      </c>
      <c r="F720" t="s">
        <v>18</v>
      </c>
      <c r="G720" s="1">
        <v>46171</v>
      </c>
    </row>
    <row r="721" spans="1:7" x14ac:dyDescent="0.35">
      <c r="A721" t="s">
        <v>755</v>
      </c>
      <c r="B721" t="s">
        <v>31</v>
      </c>
      <c r="C721" t="s">
        <v>13</v>
      </c>
      <c r="D721">
        <v>5</v>
      </c>
      <c r="E721">
        <v>16680.650000000001</v>
      </c>
      <c r="F721" t="s">
        <v>48</v>
      </c>
      <c r="G721" s="1">
        <v>46042</v>
      </c>
    </row>
    <row r="722" spans="1:7" x14ac:dyDescent="0.35">
      <c r="A722" t="s">
        <v>756</v>
      </c>
      <c r="B722" t="s">
        <v>16</v>
      </c>
      <c r="C722" t="s">
        <v>17</v>
      </c>
      <c r="D722">
        <v>5</v>
      </c>
      <c r="E722">
        <v>410.61</v>
      </c>
      <c r="F722" t="s">
        <v>26</v>
      </c>
      <c r="G722" s="1">
        <v>46083</v>
      </c>
    </row>
    <row r="723" spans="1:7" x14ac:dyDescent="0.35">
      <c r="A723" t="s">
        <v>757</v>
      </c>
      <c r="B723" t="s">
        <v>24</v>
      </c>
      <c r="C723" t="s">
        <v>25</v>
      </c>
      <c r="D723">
        <v>3</v>
      </c>
      <c r="E723">
        <v>855.08</v>
      </c>
      <c r="F723" t="s">
        <v>48</v>
      </c>
      <c r="G723" s="1">
        <v>46202</v>
      </c>
    </row>
    <row r="724" spans="1:7" x14ac:dyDescent="0.35">
      <c r="A724" t="s">
        <v>758</v>
      </c>
      <c r="B724" t="s">
        <v>38</v>
      </c>
      <c r="C724" t="s">
        <v>39</v>
      </c>
      <c r="D724">
        <v>3</v>
      </c>
      <c r="E724">
        <v>6263.48</v>
      </c>
      <c r="F724" t="s">
        <v>10</v>
      </c>
      <c r="G724" s="1">
        <v>46082</v>
      </c>
    </row>
    <row r="725" spans="1:7" x14ac:dyDescent="0.35">
      <c r="A725" t="s">
        <v>759</v>
      </c>
      <c r="B725" t="s">
        <v>31</v>
      </c>
      <c r="C725" t="s">
        <v>13</v>
      </c>
      <c r="D725">
        <v>2</v>
      </c>
      <c r="E725">
        <v>16690</v>
      </c>
      <c r="F725" t="s">
        <v>50</v>
      </c>
      <c r="G725" s="1">
        <v>46050</v>
      </c>
    </row>
    <row r="726" spans="1:7" x14ac:dyDescent="0.35">
      <c r="A726" t="s">
        <v>760</v>
      </c>
      <c r="B726" t="s">
        <v>72</v>
      </c>
      <c r="C726" t="s">
        <v>13</v>
      </c>
      <c r="D726">
        <v>1</v>
      </c>
      <c r="E726">
        <v>2052.3200000000002</v>
      </c>
      <c r="F726" t="s">
        <v>22</v>
      </c>
      <c r="G726" s="1">
        <v>46103</v>
      </c>
    </row>
    <row r="727" spans="1:7" x14ac:dyDescent="0.35">
      <c r="A727" t="s">
        <v>761</v>
      </c>
      <c r="B727" t="s">
        <v>28</v>
      </c>
      <c r="C727" t="s">
        <v>9</v>
      </c>
      <c r="D727">
        <v>1</v>
      </c>
      <c r="E727">
        <v>5034.92</v>
      </c>
      <c r="F727" t="s">
        <v>29</v>
      </c>
      <c r="G727" s="1">
        <v>46138</v>
      </c>
    </row>
    <row r="728" spans="1:7" x14ac:dyDescent="0.35">
      <c r="A728" t="s">
        <v>762</v>
      </c>
      <c r="B728" t="s">
        <v>24</v>
      </c>
      <c r="C728" t="s">
        <v>25</v>
      </c>
      <c r="D728">
        <v>4</v>
      </c>
      <c r="E728">
        <v>761.45</v>
      </c>
      <c r="F728" t="s">
        <v>18</v>
      </c>
      <c r="G728" s="1">
        <v>46046</v>
      </c>
    </row>
    <row r="729" spans="1:7" x14ac:dyDescent="0.35">
      <c r="A729" t="s">
        <v>763</v>
      </c>
      <c r="B729" t="s">
        <v>72</v>
      </c>
      <c r="C729" t="s">
        <v>13</v>
      </c>
      <c r="D729">
        <v>3</v>
      </c>
      <c r="E729">
        <v>2343.61</v>
      </c>
      <c r="F729" t="s">
        <v>50</v>
      </c>
      <c r="G729" s="1">
        <v>46033</v>
      </c>
    </row>
    <row r="730" spans="1:7" x14ac:dyDescent="0.35">
      <c r="A730" t="s">
        <v>764</v>
      </c>
      <c r="B730" t="s">
        <v>12</v>
      </c>
      <c r="C730" t="s">
        <v>13</v>
      </c>
      <c r="D730">
        <v>3</v>
      </c>
      <c r="E730">
        <v>1394.5</v>
      </c>
      <c r="F730" t="s">
        <v>29</v>
      </c>
      <c r="G730" s="1">
        <v>46114</v>
      </c>
    </row>
    <row r="731" spans="1:7" x14ac:dyDescent="0.35">
      <c r="A731" t="s">
        <v>765</v>
      </c>
      <c r="B731" t="s">
        <v>28</v>
      </c>
      <c r="C731" t="s">
        <v>9</v>
      </c>
      <c r="D731">
        <v>5</v>
      </c>
      <c r="E731">
        <v>4548.04</v>
      </c>
      <c r="F731" t="s">
        <v>10</v>
      </c>
      <c r="G731" s="1">
        <v>46089</v>
      </c>
    </row>
    <row r="732" spans="1:7" x14ac:dyDescent="0.35">
      <c r="A732" t="s">
        <v>766</v>
      </c>
      <c r="B732" t="s">
        <v>38</v>
      </c>
      <c r="C732" t="s">
        <v>39</v>
      </c>
      <c r="D732">
        <v>2</v>
      </c>
      <c r="E732">
        <v>5890.41</v>
      </c>
      <c r="F732" t="s">
        <v>48</v>
      </c>
      <c r="G732" s="1">
        <v>46138</v>
      </c>
    </row>
    <row r="733" spans="1:7" x14ac:dyDescent="0.35">
      <c r="A733" t="s">
        <v>767</v>
      </c>
      <c r="B733" t="s">
        <v>80</v>
      </c>
      <c r="C733" t="s">
        <v>39</v>
      </c>
      <c r="D733">
        <v>5</v>
      </c>
      <c r="E733">
        <v>3989.88</v>
      </c>
      <c r="F733" t="s">
        <v>22</v>
      </c>
      <c r="G733" s="1">
        <v>46049</v>
      </c>
    </row>
    <row r="734" spans="1:7" x14ac:dyDescent="0.35">
      <c r="A734" t="s">
        <v>768</v>
      </c>
      <c r="B734" t="s">
        <v>62</v>
      </c>
      <c r="C734" t="s">
        <v>25</v>
      </c>
      <c r="D734">
        <v>2</v>
      </c>
      <c r="E734">
        <v>1847.66</v>
      </c>
      <c r="F734" t="s">
        <v>46</v>
      </c>
      <c r="G734" s="1">
        <v>46079</v>
      </c>
    </row>
    <row r="735" spans="1:7" x14ac:dyDescent="0.35">
      <c r="A735" t="s">
        <v>769</v>
      </c>
      <c r="B735" t="s">
        <v>72</v>
      </c>
      <c r="C735" t="s">
        <v>13</v>
      </c>
      <c r="D735">
        <v>2</v>
      </c>
      <c r="E735">
        <v>2342.42</v>
      </c>
      <c r="F735" t="s">
        <v>32</v>
      </c>
      <c r="G735" s="1">
        <v>46198</v>
      </c>
    </row>
    <row r="736" spans="1:7" x14ac:dyDescent="0.35">
      <c r="A736" t="s">
        <v>770</v>
      </c>
      <c r="B736" t="s">
        <v>8</v>
      </c>
      <c r="C736" t="s">
        <v>9</v>
      </c>
      <c r="D736">
        <v>1</v>
      </c>
      <c r="E736">
        <v>1829.64</v>
      </c>
      <c r="F736" t="s">
        <v>10</v>
      </c>
      <c r="G736" s="1">
        <v>46042</v>
      </c>
    </row>
    <row r="737" spans="1:7" x14ac:dyDescent="0.35">
      <c r="A737" t="s">
        <v>771</v>
      </c>
      <c r="B737" t="s">
        <v>91</v>
      </c>
      <c r="C737" t="s">
        <v>13</v>
      </c>
      <c r="D737">
        <v>1</v>
      </c>
      <c r="E737">
        <v>51675.25</v>
      </c>
      <c r="F737" t="s">
        <v>22</v>
      </c>
      <c r="G737" s="1">
        <v>46055</v>
      </c>
    </row>
    <row r="738" spans="1:7" x14ac:dyDescent="0.35">
      <c r="A738" t="s">
        <v>772</v>
      </c>
      <c r="B738" t="s">
        <v>31</v>
      </c>
      <c r="C738" t="s">
        <v>13</v>
      </c>
      <c r="D738">
        <v>3</v>
      </c>
      <c r="E738">
        <v>16641.099999999999</v>
      </c>
      <c r="F738" t="s">
        <v>22</v>
      </c>
      <c r="G738" s="1">
        <v>46035</v>
      </c>
    </row>
    <row r="739" spans="1:7" x14ac:dyDescent="0.35">
      <c r="A739" t="s">
        <v>773</v>
      </c>
      <c r="B739" t="s">
        <v>72</v>
      </c>
      <c r="C739" t="s">
        <v>13</v>
      </c>
      <c r="D739">
        <v>5</v>
      </c>
      <c r="E739">
        <v>2170.59</v>
      </c>
      <c r="F739" t="s">
        <v>48</v>
      </c>
      <c r="G739" s="1">
        <v>46150</v>
      </c>
    </row>
    <row r="740" spans="1:7" x14ac:dyDescent="0.35">
      <c r="A740" t="s">
        <v>774</v>
      </c>
      <c r="B740" t="s">
        <v>91</v>
      </c>
      <c r="C740" t="s">
        <v>13</v>
      </c>
      <c r="D740">
        <v>4</v>
      </c>
      <c r="E740">
        <v>57015.34</v>
      </c>
      <c r="F740" t="s">
        <v>26</v>
      </c>
      <c r="G740" s="1">
        <v>46113</v>
      </c>
    </row>
    <row r="741" spans="1:7" x14ac:dyDescent="0.35">
      <c r="A741" t="s">
        <v>775</v>
      </c>
      <c r="B741" t="s">
        <v>12</v>
      </c>
      <c r="C741" t="s">
        <v>13</v>
      </c>
      <c r="D741">
        <v>2</v>
      </c>
      <c r="E741">
        <v>1432.49</v>
      </c>
      <c r="F741" t="s">
        <v>22</v>
      </c>
      <c r="G741" s="1">
        <v>46061</v>
      </c>
    </row>
    <row r="742" spans="1:7" x14ac:dyDescent="0.35">
      <c r="A742" t="s">
        <v>776</v>
      </c>
      <c r="B742" t="s">
        <v>91</v>
      </c>
      <c r="C742" t="s">
        <v>13</v>
      </c>
      <c r="D742">
        <v>5</v>
      </c>
      <c r="E742">
        <v>56310.94</v>
      </c>
      <c r="F742" t="s">
        <v>29</v>
      </c>
      <c r="G742" s="1">
        <v>46188</v>
      </c>
    </row>
    <row r="743" spans="1:7" x14ac:dyDescent="0.35">
      <c r="A743" t="s">
        <v>777</v>
      </c>
      <c r="B743" t="s">
        <v>24</v>
      </c>
      <c r="C743" t="s">
        <v>25</v>
      </c>
      <c r="D743">
        <v>4</v>
      </c>
      <c r="E743">
        <v>784.94</v>
      </c>
      <c r="F743" t="s">
        <v>14</v>
      </c>
      <c r="G743" s="1">
        <v>46145</v>
      </c>
    </row>
    <row r="744" spans="1:7" x14ac:dyDescent="0.35">
      <c r="A744" t="s">
        <v>778</v>
      </c>
      <c r="B744" t="s">
        <v>91</v>
      </c>
      <c r="C744" t="s">
        <v>13</v>
      </c>
      <c r="D744">
        <v>1</v>
      </c>
      <c r="E744">
        <v>52577.54</v>
      </c>
      <c r="F744" t="s">
        <v>26</v>
      </c>
      <c r="G744" s="1">
        <v>46130</v>
      </c>
    </row>
    <row r="745" spans="1:7" x14ac:dyDescent="0.35">
      <c r="A745" t="s">
        <v>779</v>
      </c>
      <c r="B745" t="s">
        <v>12</v>
      </c>
      <c r="C745" t="s">
        <v>13</v>
      </c>
      <c r="D745">
        <v>5</v>
      </c>
      <c r="E745">
        <v>1424.74</v>
      </c>
      <c r="F745" t="s">
        <v>14</v>
      </c>
      <c r="G745" s="1">
        <v>46027</v>
      </c>
    </row>
    <row r="746" spans="1:7" x14ac:dyDescent="0.35">
      <c r="A746" t="s">
        <v>780</v>
      </c>
      <c r="B746" t="s">
        <v>28</v>
      </c>
      <c r="C746" t="s">
        <v>9</v>
      </c>
      <c r="D746">
        <v>3</v>
      </c>
      <c r="E746">
        <v>4978.6899999999996</v>
      </c>
      <c r="F746" t="s">
        <v>22</v>
      </c>
      <c r="G746" s="1">
        <v>46111</v>
      </c>
    </row>
    <row r="747" spans="1:7" x14ac:dyDescent="0.35">
      <c r="A747" t="s">
        <v>781</v>
      </c>
      <c r="B747" t="s">
        <v>16</v>
      </c>
      <c r="C747" t="s">
        <v>17</v>
      </c>
      <c r="D747">
        <v>5</v>
      </c>
      <c r="E747">
        <v>433.94</v>
      </c>
      <c r="F747" t="s">
        <v>10</v>
      </c>
      <c r="G747" s="1">
        <v>46069</v>
      </c>
    </row>
    <row r="748" spans="1:7" x14ac:dyDescent="0.35">
      <c r="A748" t="s">
        <v>782</v>
      </c>
      <c r="B748" t="s">
        <v>91</v>
      </c>
      <c r="C748" t="s">
        <v>13</v>
      </c>
      <c r="D748">
        <v>3</v>
      </c>
      <c r="E748">
        <v>56068.28</v>
      </c>
      <c r="F748" t="s">
        <v>46</v>
      </c>
      <c r="G748" s="1">
        <v>46094</v>
      </c>
    </row>
    <row r="749" spans="1:7" x14ac:dyDescent="0.35">
      <c r="A749" t="s">
        <v>783</v>
      </c>
      <c r="B749" t="s">
        <v>91</v>
      </c>
      <c r="C749" t="s">
        <v>13</v>
      </c>
      <c r="D749">
        <v>4</v>
      </c>
      <c r="E749">
        <v>55323.76</v>
      </c>
      <c r="F749" t="s">
        <v>50</v>
      </c>
      <c r="G749" s="1">
        <v>46082</v>
      </c>
    </row>
    <row r="750" spans="1:7" x14ac:dyDescent="0.35">
      <c r="A750" t="s">
        <v>784</v>
      </c>
      <c r="B750" t="s">
        <v>72</v>
      </c>
      <c r="C750" t="s">
        <v>13</v>
      </c>
      <c r="D750">
        <v>1</v>
      </c>
      <c r="E750">
        <v>2089.06</v>
      </c>
      <c r="F750" t="s">
        <v>29</v>
      </c>
      <c r="G750" s="1">
        <v>46091</v>
      </c>
    </row>
    <row r="751" spans="1:7" x14ac:dyDescent="0.35">
      <c r="A751" t="s">
        <v>785</v>
      </c>
      <c r="B751" t="s">
        <v>80</v>
      </c>
      <c r="C751" t="s">
        <v>39</v>
      </c>
      <c r="D751">
        <v>1</v>
      </c>
      <c r="E751">
        <v>4421.8</v>
      </c>
      <c r="F751" t="s">
        <v>29</v>
      </c>
      <c r="G751" s="1">
        <v>46170</v>
      </c>
    </row>
    <row r="752" spans="1:7" x14ac:dyDescent="0.35">
      <c r="A752" t="s">
        <v>786</v>
      </c>
      <c r="B752" t="s">
        <v>38</v>
      </c>
      <c r="C752" t="s">
        <v>39</v>
      </c>
      <c r="D752">
        <v>4</v>
      </c>
      <c r="E752">
        <v>6311.25</v>
      </c>
      <c r="F752" t="s">
        <v>26</v>
      </c>
      <c r="G752" s="1">
        <v>46068</v>
      </c>
    </row>
    <row r="753" spans="1:7" x14ac:dyDescent="0.35">
      <c r="A753" t="s">
        <v>787</v>
      </c>
      <c r="B753" t="s">
        <v>12</v>
      </c>
      <c r="C753" t="s">
        <v>13</v>
      </c>
      <c r="D753">
        <v>5</v>
      </c>
      <c r="E753">
        <v>1445.4</v>
      </c>
      <c r="F753" t="s">
        <v>32</v>
      </c>
      <c r="G753" s="1">
        <v>46174</v>
      </c>
    </row>
    <row r="754" spans="1:7" x14ac:dyDescent="0.35">
      <c r="A754" t="s">
        <v>788</v>
      </c>
      <c r="B754" t="s">
        <v>91</v>
      </c>
      <c r="C754" t="s">
        <v>13</v>
      </c>
      <c r="D754">
        <v>3</v>
      </c>
      <c r="E754">
        <v>59923.15</v>
      </c>
      <c r="F754" t="s">
        <v>50</v>
      </c>
      <c r="G754" s="1">
        <v>46059</v>
      </c>
    </row>
    <row r="755" spans="1:7" x14ac:dyDescent="0.35">
      <c r="A755" t="s">
        <v>789</v>
      </c>
      <c r="B755" t="s">
        <v>16</v>
      </c>
      <c r="C755" t="s">
        <v>17</v>
      </c>
      <c r="D755">
        <v>2</v>
      </c>
      <c r="E755">
        <v>480.3</v>
      </c>
      <c r="F755" t="s">
        <v>22</v>
      </c>
      <c r="G755" s="1">
        <v>46161</v>
      </c>
    </row>
    <row r="756" spans="1:7" x14ac:dyDescent="0.35">
      <c r="A756" t="s">
        <v>790</v>
      </c>
      <c r="B756" t="s">
        <v>24</v>
      </c>
      <c r="C756" t="s">
        <v>25</v>
      </c>
      <c r="D756">
        <v>2</v>
      </c>
      <c r="E756">
        <v>797.47</v>
      </c>
      <c r="F756" t="s">
        <v>18</v>
      </c>
      <c r="G756" s="1">
        <v>46037</v>
      </c>
    </row>
    <row r="757" spans="1:7" x14ac:dyDescent="0.35">
      <c r="A757" t="s">
        <v>791</v>
      </c>
      <c r="B757" t="s">
        <v>12</v>
      </c>
      <c r="C757" t="s">
        <v>13</v>
      </c>
      <c r="D757">
        <v>5</v>
      </c>
      <c r="E757">
        <v>1415.64</v>
      </c>
      <c r="F757" t="s">
        <v>14</v>
      </c>
      <c r="G757" s="1">
        <v>46145</v>
      </c>
    </row>
    <row r="758" spans="1:7" x14ac:dyDescent="0.35">
      <c r="A758" t="s">
        <v>792</v>
      </c>
      <c r="B758" t="s">
        <v>91</v>
      </c>
      <c r="C758" t="s">
        <v>13</v>
      </c>
      <c r="D758">
        <v>3</v>
      </c>
      <c r="E758">
        <v>59596.86</v>
      </c>
      <c r="F758" t="s">
        <v>29</v>
      </c>
      <c r="G758" s="1">
        <v>46056</v>
      </c>
    </row>
    <row r="759" spans="1:7" x14ac:dyDescent="0.35">
      <c r="A759" t="s">
        <v>793</v>
      </c>
      <c r="B759" t="s">
        <v>55</v>
      </c>
      <c r="C759" t="s">
        <v>25</v>
      </c>
      <c r="D759">
        <v>2</v>
      </c>
      <c r="E759">
        <v>2708.31</v>
      </c>
      <c r="F759" t="s">
        <v>32</v>
      </c>
      <c r="G759" s="1">
        <v>46038</v>
      </c>
    </row>
    <row r="760" spans="1:7" x14ac:dyDescent="0.35">
      <c r="A760" t="s">
        <v>794</v>
      </c>
      <c r="B760" t="s">
        <v>91</v>
      </c>
      <c r="C760" t="s">
        <v>13</v>
      </c>
      <c r="D760">
        <v>2</v>
      </c>
      <c r="E760">
        <v>55952.7</v>
      </c>
      <c r="F760" t="s">
        <v>26</v>
      </c>
      <c r="G760" s="1">
        <v>46051</v>
      </c>
    </row>
    <row r="761" spans="1:7" x14ac:dyDescent="0.35">
      <c r="A761" t="s">
        <v>795</v>
      </c>
      <c r="B761" t="s">
        <v>38</v>
      </c>
      <c r="C761" t="s">
        <v>39</v>
      </c>
      <c r="D761">
        <v>5</v>
      </c>
      <c r="E761">
        <v>6968.87</v>
      </c>
      <c r="F761" t="s">
        <v>18</v>
      </c>
      <c r="G761" s="1">
        <v>46118</v>
      </c>
    </row>
    <row r="762" spans="1:7" x14ac:dyDescent="0.35">
      <c r="A762" t="s">
        <v>796</v>
      </c>
      <c r="B762" t="s">
        <v>21</v>
      </c>
      <c r="C762" t="s">
        <v>13</v>
      </c>
      <c r="D762">
        <v>4</v>
      </c>
      <c r="E762">
        <v>28481.69</v>
      </c>
      <c r="F762" t="s">
        <v>32</v>
      </c>
      <c r="G762" s="1">
        <v>46100</v>
      </c>
    </row>
    <row r="763" spans="1:7" x14ac:dyDescent="0.35">
      <c r="A763" t="s">
        <v>797</v>
      </c>
      <c r="B763" t="s">
        <v>55</v>
      </c>
      <c r="C763" t="s">
        <v>25</v>
      </c>
      <c r="D763">
        <v>2</v>
      </c>
      <c r="E763">
        <v>2736.84</v>
      </c>
      <c r="F763" t="s">
        <v>48</v>
      </c>
      <c r="G763" s="1">
        <v>46186</v>
      </c>
    </row>
    <row r="764" spans="1:7" x14ac:dyDescent="0.35">
      <c r="A764" t="s">
        <v>798</v>
      </c>
      <c r="B764" t="s">
        <v>44</v>
      </c>
      <c r="C764" t="s">
        <v>39</v>
      </c>
      <c r="D764">
        <v>3</v>
      </c>
      <c r="E764">
        <v>3271.94</v>
      </c>
      <c r="F764" t="s">
        <v>14</v>
      </c>
      <c r="G764" s="1">
        <v>46200</v>
      </c>
    </row>
    <row r="765" spans="1:7" x14ac:dyDescent="0.35">
      <c r="A765" t="s">
        <v>799</v>
      </c>
      <c r="B765" t="s">
        <v>16</v>
      </c>
      <c r="C765" t="s">
        <v>17</v>
      </c>
      <c r="D765">
        <v>3</v>
      </c>
      <c r="E765">
        <v>425.09</v>
      </c>
      <c r="F765" t="s">
        <v>50</v>
      </c>
      <c r="G765" s="1">
        <v>46067</v>
      </c>
    </row>
    <row r="766" spans="1:7" x14ac:dyDescent="0.35">
      <c r="A766" t="s">
        <v>800</v>
      </c>
      <c r="B766" t="s">
        <v>28</v>
      </c>
      <c r="C766" t="s">
        <v>9</v>
      </c>
      <c r="D766">
        <v>3</v>
      </c>
      <c r="E766">
        <v>5232.95</v>
      </c>
      <c r="F766" t="s">
        <v>10</v>
      </c>
      <c r="G766" s="1">
        <v>46055</v>
      </c>
    </row>
    <row r="767" spans="1:7" x14ac:dyDescent="0.35">
      <c r="A767" t="s">
        <v>801</v>
      </c>
      <c r="B767" t="s">
        <v>72</v>
      </c>
      <c r="C767" t="s">
        <v>13</v>
      </c>
      <c r="D767">
        <v>1</v>
      </c>
      <c r="E767">
        <v>2397.4699999999998</v>
      </c>
      <c r="F767" t="s">
        <v>50</v>
      </c>
      <c r="G767" s="1">
        <v>46123</v>
      </c>
    </row>
    <row r="768" spans="1:7" x14ac:dyDescent="0.35">
      <c r="A768" t="s">
        <v>802</v>
      </c>
      <c r="B768" t="s">
        <v>38</v>
      </c>
      <c r="C768" t="s">
        <v>39</v>
      </c>
      <c r="D768">
        <v>5</v>
      </c>
      <c r="E768">
        <v>5892.1</v>
      </c>
      <c r="F768" t="s">
        <v>50</v>
      </c>
      <c r="G768" s="1">
        <v>46104</v>
      </c>
    </row>
    <row r="769" spans="1:7" x14ac:dyDescent="0.35">
      <c r="A769" t="s">
        <v>803</v>
      </c>
      <c r="B769" t="s">
        <v>62</v>
      </c>
      <c r="C769" t="s">
        <v>25</v>
      </c>
      <c r="D769">
        <v>5</v>
      </c>
      <c r="E769">
        <v>1887.41</v>
      </c>
      <c r="F769" t="s">
        <v>50</v>
      </c>
      <c r="G769" s="1">
        <v>46049</v>
      </c>
    </row>
    <row r="770" spans="1:7" x14ac:dyDescent="0.35">
      <c r="A770" t="s">
        <v>804</v>
      </c>
      <c r="B770" t="s">
        <v>44</v>
      </c>
      <c r="C770" t="s">
        <v>39</v>
      </c>
      <c r="D770">
        <v>2</v>
      </c>
      <c r="E770">
        <v>3381.82</v>
      </c>
      <c r="F770" t="s">
        <v>18</v>
      </c>
      <c r="G770" s="1">
        <v>46083</v>
      </c>
    </row>
    <row r="771" spans="1:7" x14ac:dyDescent="0.35">
      <c r="A771" t="s">
        <v>805</v>
      </c>
      <c r="B771" t="s">
        <v>55</v>
      </c>
      <c r="C771" t="s">
        <v>25</v>
      </c>
      <c r="D771">
        <v>3</v>
      </c>
      <c r="E771">
        <v>2333.0100000000002</v>
      </c>
      <c r="F771" t="s">
        <v>18</v>
      </c>
      <c r="G771" s="1">
        <v>46194</v>
      </c>
    </row>
    <row r="772" spans="1:7" x14ac:dyDescent="0.35">
      <c r="A772" t="s">
        <v>806</v>
      </c>
      <c r="B772" t="s">
        <v>8</v>
      </c>
      <c r="C772" t="s">
        <v>9</v>
      </c>
      <c r="D772">
        <v>3</v>
      </c>
      <c r="E772">
        <v>1780.79</v>
      </c>
      <c r="F772" t="s">
        <v>10</v>
      </c>
      <c r="G772" s="1">
        <v>46076</v>
      </c>
    </row>
    <row r="773" spans="1:7" x14ac:dyDescent="0.35">
      <c r="A773" t="s">
        <v>807</v>
      </c>
      <c r="B773" t="s">
        <v>12</v>
      </c>
      <c r="C773" t="s">
        <v>13</v>
      </c>
      <c r="D773">
        <v>1</v>
      </c>
      <c r="E773">
        <v>1455.14</v>
      </c>
      <c r="F773" t="s">
        <v>18</v>
      </c>
      <c r="G773" s="1">
        <v>46023</v>
      </c>
    </row>
    <row r="774" spans="1:7" x14ac:dyDescent="0.35">
      <c r="A774" t="s">
        <v>808</v>
      </c>
      <c r="B774" t="s">
        <v>91</v>
      </c>
      <c r="C774" t="s">
        <v>13</v>
      </c>
      <c r="D774">
        <v>4</v>
      </c>
      <c r="E774">
        <v>54320.42</v>
      </c>
      <c r="F774" t="s">
        <v>48</v>
      </c>
      <c r="G774" s="1">
        <v>46065</v>
      </c>
    </row>
    <row r="775" spans="1:7" x14ac:dyDescent="0.35">
      <c r="A775" t="s">
        <v>809</v>
      </c>
      <c r="B775" t="s">
        <v>28</v>
      </c>
      <c r="C775" t="s">
        <v>9</v>
      </c>
      <c r="D775">
        <v>4</v>
      </c>
      <c r="E775">
        <v>5380.69</v>
      </c>
      <c r="F775" t="s">
        <v>32</v>
      </c>
      <c r="G775" s="1">
        <v>46162</v>
      </c>
    </row>
    <row r="776" spans="1:7" x14ac:dyDescent="0.35">
      <c r="A776" t="s">
        <v>810</v>
      </c>
      <c r="B776" t="s">
        <v>28</v>
      </c>
      <c r="C776" t="s">
        <v>9</v>
      </c>
      <c r="D776">
        <v>1</v>
      </c>
      <c r="E776">
        <v>5327.74</v>
      </c>
      <c r="F776" t="s">
        <v>50</v>
      </c>
      <c r="G776" s="1">
        <v>46189</v>
      </c>
    </row>
    <row r="777" spans="1:7" x14ac:dyDescent="0.35">
      <c r="A777" t="s">
        <v>811</v>
      </c>
      <c r="B777" t="s">
        <v>62</v>
      </c>
      <c r="C777" t="s">
        <v>25</v>
      </c>
      <c r="D777">
        <v>2</v>
      </c>
      <c r="E777">
        <v>1864.13</v>
      </c>
      <c r="F777" t="s">
        <v>18</v>
      </c>
      <c r="G777" s="1">
        <v>46031</v>
      </c>
    </row>
    <row r="778" spans="1:7" x14ac:dyDescent="0.35">
      <c r="A778" t="s">
        <v>812</v>
      </c>
      <c r="B778" t="s">
        <v>24</v>
      </c>
      <c r="C778" t="s">
        <v>25</v>
      </c>
      <c r="D778">
        <v>1</v>
      </c>
      <c r="E778">
        <v>770.03</v>
      </c>
      <c r="F778" t="s">
        <v>18</v>
      </c>
      <c r="G778" s="1">
        <v>46041</v>
      </c>
    </row>
    <row r="779" spans="1:7" x14ac:dyDescent="0.35">
      <c r="A779" t="s">
        <v>813</v>
      </c>
      <c r="B779" t="s">
        <v>55</v>
      </c>
      <c r="C779" t="s">
        <v>25</v>
      </c>
      <c r="D779">
        <v>2</v>
      </c>
      <c r="E779">
        <v>2692.89</v>
      </c>
      <c r="F779" t="s">
        <v>26</v>
      </c>
      <c r="G779" s="1">
        <v>46042</v>
      </c>
    </row>
    <row r="780" spans="1:7" x14ac:dyDescent="0.35">
      <c r="A780" t="s">
        <v>814</v>
      </c>
      <c r="B780" t="s">
        <v>80</v>
      </c>
      <c r="C780" t="s">
        <v>39</v>
      </c>
      <c r="D780">
        <v>1</v>
      </c>
      <c r="E780">
        <v>4063.88</v>
      </c>
      <c r="F780" t="s">
        <v>50</v>
      </c>
      <c r="G780" s="1">
        <v>46146</v>
      </c>
    </row>
    <row r="781" spans="1:7" x14ac:dyDescent="0.35">
      <c r="A781" t="s">
        <v>815</v>
      </c>
      <c r="B781" t="s">
        <v>21</v>
      </c>
      <c r="C781" t="s">
        <v>13</v>
      </c>
      <c r="D781">
        <v>1</v>
      </c>
      <c r="E781">
        <v>27615.41</v>
      </c>
      <c r="F781" t="s">
        <v>26</v>
      </c>
      <c r="G781" s="1">
        <v>46178</v>
      </c>
    </row>
    <row r="782" spans="1:7" x14ac:dyDescent="0.35">
      <c r="A782" t="s">
        <v>816</v>
      </c>
      <c r="B782" t="s">
        <v>28</v>
      </c>
      <c r="C782" t="s">
        <v>9</v>
      </c>
      <c r="D782">
        <v>2</v>
      </c>
      <c r="E782">
        <v>4552.6499999999996</v>
      </c>
      <c r="F782" t="s">
        <v>32</v>
      </c>
      <c r="G782" s="1">
        <v>46075</v>
      </c>
    </row>
    <row r="783" spans="1:7" x14ac:dyDescent="0.35">
      <c r="A783" t="s">
        <v>817</v>
      </c>
      <c r="B783" t="s">
        <v>12</v>
      </c>
      <c r="C783" t="s">
        <v>13</v>
      </c>
      <c r="D783">
        <v>4</v>
      </c>
      <c r="E783">
        <v>1559.16</v>
      </c>
      <c r="F783" t="s">
        <v>14</v>
      </c>
      <c r="G783" s="1">
        <v>46090</v>
      </c>
    </row>
    <row r="784" spans="1:7" x14ac:dyDescent="0.35">
      <c r="A784" t="s">
        <v>818</v>
      </c>
      <c r="B784" t="s">
        <v>8</v>
      </c>
      <c r="C784" t="s">
        <v>9</v>
      </c>
      <c r="D784">
        <v>3</v>
      </c>
      <c r="E784">
        <v>1727.06</v>
      </c>
      <c r="F784" t="s">
        <v>18</v>
      </c>
      <c r="G784" s="1">
        <v>46035</v>
      </c>
    </row>
    <row r="785" spans="1:7" x14ac:dyDescent="0.35">
      <c r="A785" t="s">
        <v>819</v>
      </c>
      <c r="B785" t="s">
        <v>28</v>
      </c>
      <c r="C785" t="s">
        <v>9</v>
      </c>
      <c r="D785">
        <v>5</v>
      </c>
      <c r="E785">
        <v>5048.6499999999996</v>
      </c>
      <c r="F785" t="s">
        <v>22</v>
      </c>
      <c r="G785" s="1">
        <v>46062</v>
      </c>
    </row>
    <row r="786" spans="1:7" x14ac:dyDescent="0.35">
      <c r="A786" t="s">
        <v>820</v>
      </c>
      <c r="B786" t="s">
        <v>91</v>
      </c>
      <c r="C786" t="s">
        <v>13</v>
      </c>
      <c r="D786">
        <v>3</v>
      </c>
      <c r="E786">
        <v>49541.97</v>
      </c>
      <c r="F786" t="s">
        <v>18</v>
      </c>
      <c r="G786" s="1">
        <v>46098</v>
      </c>
    </row>
    <row r="787" spans="1:7" x14ac:dyDescent="0.35">
      <c r="A787" t="s">
        <v>821</v>
      </c>
      <c r="B787" t="s">
        <v>38</v>
      </c>
      <c r="C787" t="s">
        <v>39</v>
      </c>
      <c r="D787">
        <v>5</v>
      </c>
      <c r="E787">
        <v>6474.43</v>
      </c>
      <c r="F787" t="s">
        <v>18</v>
      </c>
      <c r="G787" s="1">
        <v>46029</v>
      </c>
    </row>
    <row r="788" spans="1:7" x14ac:dyDescent="0.35">
      <c r="A788" t="s">
        <v>822</v>
      </c>
      <c r="B788" t="s">
        <v>12</v>
      </c>
      <c r="C788" t="s">
        <v>13</v>
      </c>
      <c r="D788">
        <v>2</v>
      </c>
      <c r="E788">
        <v>1541.46</v>
      </c>
      <c r="F788" t="s">
        <v>18</v>
      </c>
      <c r="G788" s="1">
        <v>46144</v>
      </c>
    </row>
    <row r="789" spans="1:7" x14ac:dyDescent="0.35">
      <c r="A789" t="s">
        <v>823</v>
      </c>
      <c r="B789" t="s">
        <v>38</v>
      </c>
      <c r="C789" t="s">
        <v>39</v>
      </c>
      <c r="D789">
        <v>1</v>
      </c>
      <c r="E789">
        <v>6250.86</v>
      </c>
      <c r="F789" t="s">
        <v>48</v>
      </c>
      <c r="G789" s="1">
        <v>46143</v>
      </c>
    </row>
    <row r="790" spans="1:7" x14ac:dyDescent="0.35">
      <c r="A790" t="s">
        <v>824</v>
      </c>
      <c r="B790" t="s">
        <v>44</v>
      </c>
      <c r="C790" t="s">
        <v>39</v>
      </c>
      <c r="D790">
        <v>3</v>
      </c>
      <c r="E790">
        <v>3213.8</v>
      </c>
      <c r="F790" t="s">
        <v>14</v>
      </c>
      <c r="G790" s="1">
        <v>46122</v>
      </c>
    </row>
    <row r="791" spans="1:7" x14ac:dyDescent="0.35">
      <c r="A791" t="s">
        <v>825</v>
      </c>
      <c r="B791" t="s">
        <v>72</v>
      </c>
      <c r="C791" t="s">
        <v>13</v>
      </c>
      <c r="D791">
        <v>3</v>
      </c>
      <c r="E791">
        <v>2369.62</v>
      </c>
      <c r="F791" t="s">
        <v>32</v>
      </c>
      <c r="G791" s="1">
        <v>46070</v>
      </c>
    </row>
    <row r="792" spans="1:7" x14ac:dyDescent="0.35">
      <c r="A792" t="s">
        <v>826</v>
      </c>
      <c r="B792" t="s">
        <v>44</v>
      </c>
      <c r="C792" t="s">
        <v>39</v>
      </c>
      <c r="D792">
        <v>1</v>
      </c>
      <c r="E792">
        <v>3334.31</v>
      </c>
      <c r="F792" t="s">
        <v>22</v>
      </c>
      <c r="G792" s="1">
        <v>46090</v>
      </c>
    </row>
    <row r="793" spans="1:7" x14ac:dyDescent="0.35">
      <c r="A793" t="s">
        <v>827</v>
      </c>
      <c r="B793" t="s">
        <v>12</v>
      </c>
      <c r="C793" t="s">
        <v>13</v>
      </c>
      <c r="D793">
        <v>3</v>
      </c>
      <c r="E793">
        <v>1519.27</v>
      </c>
      <c r="F793" t="s">
        <v>26</v>
      </c>
      <c r="G793" s="1">
        <v>46201</v>
      </c>
    </row>
    <row r="794" spans="1:7" x14ac:dyDescent="0.35">
      <c r="A794" t="s">
        <v>828</v>
      </c>
      <c r="B794" t="s">
        <v>8</v>
      </c>
      <c r="C794" t="s">
        <v>9</v>
      </c>
      <c r="D794">
        <v>1</v>
      </c>
      <c r="E794">
        <v>1650.85</v>
      </c>
      <c r="F794" t="s">
        <v>32</v>
      </c>
      <c r="G794" s="1">
        <v>46161</v>
      </c>
    </row>
    <row r="795" spans="1:7" x14ac:dyDescent="0.35">
      <c r="A795" t="s">
        <v>829</v>
      </c>
      <c r="B795" t="s">
        <v>28</v>
      </c>
      <c r="C795" t="s">
        <v>9</v>
      </c>
      <c r="D795">
        <v>5</v>
      </c>
      <c r="E795">
        <v>4726.57</v>
      </c>
      <c r="F795" t="s">
        <v>46</v>
      </c>
      <c r="G795" s="1">
        <v>46122</v>
      </c>
    </row>
    <row r="796" spans="1:7" x14ac:dyDescent="0.35">
      <c r="A796" t="s">
        <v>830</v>
      </c>
      <c r="B796" t="s">
        <v>38</v>
      </c>
      <c r="C796" t="s">
        <v>39</v>
      </c>
      <c r="D796">
        <v>5</v>
      </c>
      <c r="E796">
        <v>6394.22</v>
      </c>
      <c r="F796" t="s">
        <v>14</v>
      </c>
      <c r="G796" s="1">
        <v>46198</v>
      </c>
    </row>
    <row r="797" spans="1:7" x14ac:dyDescent="0.35">
      <c r="A797" t="s">
        <v>831</v>
      </c>
      <c r="B797" t="s">
        <v>38</v>
      </c>
      <c r="C797" t="s">
        <v>39</v>
      </c>
      <c r="D797">
        <v>4</v>
      </c>
      <c r="E797">
        <v>6594.53</v>
      </c>
      <c r="F797" t="s">
        <v>29</v>
      </c>
      <c r="G797" s="1">
        <v>46144</v>
      </c>
    </row>
    <row r="798" spans="1:7" x14ac:dyDescent="0.35">
      <c r="A798" t="s">
        <v>832</v>
      </c>
      <c r="B798" t="s">
        <v>24</v>
      </c>
      <c r="C798" t="s">
        <v>25</v>
      </c>
      <c r="D798">
        <v>1</v>
      </c>
      <c r="E798">
        <v>782.19</v>
      </c>
      <c r="F798" t="s">
        <v>46</v>
      </c>
      <c r="G798" s="1">
        <v>46151</v>
      </c>
    </row>
    <row r="799" spans="1:7" x14ac:dyDescent="0.35">
      <c r="A799" t="s">
        <v>833</v>
      </c>
      <c r="B799" t="s">
        <v>16</v>
      </c>
      <c r="C799" t="s">
        <v>17</v>
      </c>
      <c r="D799">
        <v>5</v>
      </c>
      <c r="E799">
        <v>477.04</v>
      </c>
      <c r="F799" t="s">
        <v>50</v>
      </c>
      <c r="G799" s="1">
        <v>46060</v>
      </c>
    </row>
    <row r="800" spans="1:7" x14ac:dyDescent="0.35">
      <c r="A800" t="s">
        <v>834</v>
      </c>
      <c r="B800" t="s">
        <v>31</v>
      </c>
      <c r="C800" t="s">
        <v>13</v>
      </c>
      <c r="D800">
        <v>4</v>
      </c>
      <c r="E800">
        <v>16822.36</v>
      </c>
      <c r="F800" t="s">
        <v>26</v>
      </c>
      <c r="G800" s="1">
        <v>46077</v>
      </c>
    </row>
    <row r="801" spans="1:7" x14ac:dyDescent="0.35">
      <c r="A801" t="s">
        <v>835</v>
      </c>
      <c r="B801" t="s">
        <v>62</v>
      </c>
      <c r="C801" t="s">
        <v>25</v>
      </c>
      <c r="D801">
        <v>2</v>
      </c>
      <c r="E801">
        <v>1849.55</v>
      </c>
      <c r="F801" t="s">
        <v>48</v>
      </c>
      <c r="G801" s="1">
        <v>46043</v>
      </c>
    </row>
    <row r="802" spans="1:7" x14ac:dyDescent="0.35">
      <c r="A802" t="s">
        <v>836</v>
      </c>
      <c r="B802" t="s">
        <v>8</v>
      </c>
      <c r="C802" t="s">
        <v>9</v>
      </c>
      <c r="D802">
        <v>4</v>
      </c>
      <c r="E802">
        <v>1692.69</v>
      </c>
      <c r="F802" t="s">
        <v>26</v>
      </c>
      <c r="G802" s="1">
        <v>46175</v>
      </c>
    </row>
    <row r="803" spans="1:7" x14ac:dyDescent="0.35">
      <c r="A803" t="s">
        <v>837</v>
      </c>
      <c r="B803" t="s">
        <v>24</v>
      </c>
      <c r="C803" t="s">
        <v>25</v>
      </c>
      <c r="D803">
        <v>3</v>
      </c>
      <c r="E803">
        <v>864.65</v>
      </c>
      <c r="F803" t="s">
        <v>18</v>
      </c>
      <c r="G803" s="1">
        <v>46045</v>
      </c>
    </row>
    <row r="804" spans="1:7" x14ac:dyDescent="0.35">
      <c r="A804" t="s">
        <v>838</v>
      </c>
      <c r="B804" t="s">
        <v>28</v>
      </c>
      <c r="C804" t="s">
        <v>9</v>
      </c>
      <c r="D804">
        <v>5</v>
      </c>
      <c r="E804">
        <v>4896.38</v>
      </c>
      <c r="F804" t="s">
        <v>32</v>
      </c>
      <c r="G804" s="1">
        <v>46093</v>
      </c>
    </row>
    <row r="805" spans="1:7" x14ac:dyDescent="0.35">
      <c r="A805" t="s">
        <v>839</v>
      </c>
      <c r="B805" t="s">
        <v>80</v>
      </c>
      <c r="C805" t="s">
        <v>39</v>
      </c>
      <c r="D805">
        <v>4</v>
      </c>
      <c r="E805">
        <v>4550.42</v>
      </c>
      <c r="F805" t="s">
        <v>46</v>
      </c>
      <c r="G805" s="1">
        <v>46202</v>
      </c>
    </row>
    <row r="806" spans="1:7" x14ac:dyDescent="0.35">
      <c r="A806" t="s">
        <v>840</v>
      </c>
      <c r="B806" t="s">
        <v>16</v>
      </c>
      <c r="C806" t="s">
        <v>17</v>
      </c>
      <c r="D806">
        <v>5</v>
      </c>
      <c r="E806">
        <v>452.03</v>
      </c>
      <c r="F806" t="s">
        <v>48</v>
      </c>
      <c r="G806" s="1">
        <v>46051</v>
      </c>
    </row>
    <row r="807" spans="1:7" x14ac:dyDescent="0.35">
      <c r="A807" t="s">
        <v>841</v>
      </c>
      <c r="B807" t="s">
        <v>28</v>
      </c>
      <c r="C807" t="s">
        <v>9</v>
      </c>
      <c r="D807">
        <v>2</v>
      </c>
      <c r="E807">
        <v>4647.2700000000004</v>
      </c>
      <c r="F807" t="s">
        <v>50</v>
      </c>
      <c r="G807" s="1">
        <v>46172</v>
      </c>
    </row>
    <row r="808" spans="1:7" x14ac:dyDescent="0.35">
      <c r="A808" t="s">
        <v>842</v>
      </c>
      <c r="B808" t="s">
        <v>62</v>
      </c>
      <c r="C808" t="s">
        <v>25</v>
      </c>
      <c r="D808">
        <v>1</v>
      </c>
      <c r="E808">
        <v>2168.89</v>
      </c>
      <c r="F808" t="s">
        <v>50</v>
      </c>
      <c r="G808" s="1">
        <v>46048</v>
      </c>
    </row>
    <row r="809" spans="1:7" x14ac:dyDescent="0.35">
      <c r="A809" t="s">
        <v>843</v>
      </c>
      <c r="B809" t="s">
        <v>62</v>
      </c>
      <c r="C809" t="s">
        <v>25</v>
      </c>
      <c r="D809">
        <v>3</v>
      </c>
      <c r="E809">
        <v>2145.92</v>
      </c>
      <c r="F809" t="s">
        <v>32</v>
      </c>
      <c r="G809" s="1">
        <v>46128</v>
      </c>
    </row>
    <row r="810" spans="1:7" x14ac:dyDescent="0.35">
      <c r="A810" t="s">
        <v>844</v>
      </c>
      <c r="B810" t="s">
        <v>24</v>
      </c>
      <c r="C810" t="s">
        <v>25</v>
      </c>
      <c r="D810">
        <v>4</v>
      </c>
      <c r="E810">
        <v>823.74</v>
      </c>
      <c r="F810" t="s">
        <v>50</v>
      </c>
      <c r="G810" s="1">
        <v>46178</v>
      </c>
    </row>
    <row r="811" spans="1:7" x14ac:dyDescent="0.35">
      <c r="A811" t="s">
        <v>845</v>
      </c>
      <c r="B811" t="s">
        <v>44</v>
      </c>
      <c r="C811" t="s">
        <v>39</v>
      </c>
      <c r="D811">
        <v>1</v>
      </c>
      <c r="E811">
        <v>3270.54</v>
      </c>
      <c r="F811" t="s">
        <v>48</v>
      </c>
      <c r="G811" s="1">
        <v>46059</v>
      </c>
    </row>
    <row r="812" spans="1:7" x14ac:dyDescent="0.35">
      <c r="A812" t="s">
        <v>846</v>
      </c>
      <c r="B812" t="s">
        <v>16</v>
      </c>
      <c r="C812" t="s">
        <v>17</v>
      </c>
      <c r="D812">
        <v>5</v>
      </c>
      <c r="E812">
        <v>466.27</v>
      </c>
      <c r="F812" t="s">
        <v>48</v>
      </c>
      <c r="G812" s="1">
        <v>46032</v>
      </c>
    </row>
    <row r="813" spans="1:7" x14ac:dyDescent="0.35">
      <c r="A813" t="s">
        <v>847</v>
      </c>
      <c r="B813" t="s">
        <v>28</v>
      </c>
      <c r="C813" t="s">
        <v>9</v>
      </c>
      <c r="D813">
        <v>3</v>
      </c>
      <c r="E813">
        <v>5189.4799999999996</v>
      </c>
      <c r="F813" t="s">
        <v>46</v>
      </c>
      <c r="G813" s="1">
        <v>46144</v>
      </c>
    </row>
    <row r="814" spans="1:7" x14ac:dyDescent="0.35">
      <c r="A814" t="s">
        <v>848</v>
      </c>
      <c r="B814" t="s">
        <v>24</v>
      </c>
      <c r="C814" t="s">
        <v>25</v>
      </c>
      <c r="D814">
        <v>3</v>
      </c>
      <c r="E814">
        <v>722.33</v>
      </c>
      <c r="F814" t="s">
        <v>10</v>
      </c>
      <c r="G814" s="1">
        <v>46102</v>
      </c>
    </row>
    <row r="815" spans="1:7" x14ac:dyDescent="0.35">
      <c r="A815" t="s">
        <v>849</v>
      </c>
      <c r="B815" t="s">
        <v>24</v>
      </c>
      <c r="C815" t="s">
        <v>25</v>
      </c>
      <c r="D815">
        <v>4</v>
      </c>
      <c r="E815">
        <v>856.25</v>
      </c>
      <c r="F815" t="s">
        <v>18</v>
      </c>
      <c r="G815" s="1">
        <v>46081</v>
      </c>
    </row>
    <row r="816" spans="1:7" x14ac:dyDescent="0.35">
      <c r="A816" t="s">
        <v>850</v>
      </c>
      <c r="B816" t="s">
        <v>72</v>
      </c>
      <c r="C816" t="s">
        <v>13</v>
      </c>
      <c r="D816">
        <v>3</v>
      </c>
      <c r="E816">
        <v>2408.66</v>
      </c>
      <c r="F816" t="s">
        <v>22</v>
      </c>
      <c r="G816" s="1">
        <v>46105</v>
      </c>
    </row>
    <row r="817" spans="1:7" x14ac:dyDescent="0.35">
      <c r="A817" t="s">
        <v>851</v>
      </c>
      <c r="B817" t="s">
        <v>24</v>
      </c>
      <c r="C817" t="s">
        <v>25</v>
      </c>
      <c r="D817">
        <v>4</v>
      </c>
      <c r="E817">
        <v>815.78</v>
      </c>
      <c r="F817" t="s">
        <v>18</v>
      </c>
      <c r="G817" s="1">
        <v>46071</v>
      </c>
    </row>
    <row r="818" spans="1:7" x14ac:dyDescent="0.35">
      <c r="A818" t="s">
        <v>852</v>
      </c>
      <c r="B818" t="s">
        <v>44</v>
      </c>
      <c r="C818" t="s">
        <v>39</v>
      </c>
      <c r="D818">
        <v>2</v>
      </c>
      <c r="E818">
        <v>3789.4</v>
      </c>
      <c r="F818" t="s">
        <v>48</v>
      </c>
      <c r="G818" s="1">
        <v>46147</v>
      </c>
    </row>
    <row r="819" spans="1:7" x14ac:dyDescent="0.35">
      <c r="A819" t="s">
        <v>853</v>
      </c>
      <c r="B819" t="s">
        <v>62</v>
      </c>
      <c r="C819" t="s">
        <v>25</v>
      </c>
      <c r="D819">
        <v>5</v>
      </c>
      <c r="E819">
        <v>2145.8000000000002</v>
      </c>
      <c r="F819" t="s">
        <v>46</v>
      </c>
      <c r="G819" s="1">
        <v>46154</v>
      </c>
    </row>
    <row r="820" spans="1:7" x14ac:dyDescent="0.35">
      <c r="A820" t="s">
        <v>854</v>
      </c>
      <c r="B820" t="s">
        <v>62</v>
      </c>
      <c r="C820" t="s">
        <v>25</v>
      </c>
      <c r="D820">
        <v>2</v>
      </c>
      <c r="E820">
        <v>1825.33</v>
      </c>
      <c r="F820" t="s">
        <v>14</v>
      </c>
      <c r="G820" s="1">
        <v>46126</v>
      </c>
    </row>
    <row r="821" spans="1:7" x14ac:dyDescent="0.35">
      <c r="A821" t="s">
        <v>855</v>
      </c>
      <c r="B821" t="s">
        <v>72</v>
      </c>
      <c r="C821" t="s">
        <v>13</v>
      </c>
      <c r="D821">
        <v>5</v>
      </c>
      <c r="E821">
        <v>2366.91</v>
      </c>
      <c r="F821" t="s">
        <v>46</v>
      </c>
      <c r="G821" s="1">
        <v>46067</v>
      </c>
    </row>
    <row r="822" spans="1:7" x14ac:dyDescent="0.35">
      <c r="A822" t="s">
        <v>856</v>
      </c>
      <c r="B822" t="s">
        <v>12</v>
      </c>
      <c r="C822" t="s">
        <v>13</v>
      </c>
      <c r="D822">
        <v>2</v>
      </c>
      <c r="E822">
        <v>1601.09</v>
      </c>
      <c r="F822" t="s">
        <v>29</v>
      </c>
      <c r="G822" s="1">
        <v>46031</v>
      </c>
    </row>
    <row r="823" spans="1:7" x14ac:dyDescent="0.35">
      <c r="A823" t="s">
        <v>857</v>
      </c>
      <c r="B823" t="s">
        <v>44</v>
      </c>
      <c r="C823" t="s">
        <v>39</v>
      </c>
      <c r="D823">
        <v>1</v>
      </c>
      <c r="E823">
        <v>3792.62</v>
      </c>
      <c r="F823" t="s">
        <v>29</v>
      </c>
      <c r="G823" s="1">
        <v>46093</v>
      </c>
    </row>
    <row r="824" spans="1:7" x14ac:dyDescent="0.35">
      <c r="A824" t="s">
        <v>858</v>
      </c>
      <c r="B824" t="s">
        <v>55</v>
      </c>
      <c r="C824" t="s">
        <v>25</v>
      </c>
      <c r="D824">
        <v>4</v>
      </c>
      <c r="E824">
        <v>2501.56</v>
      </c>
      <c r="F824" t="s">
        <v>18</v>
      </c>
      <c r="G824" s="1">
        <v>46197</v>
      </c>
    </row>
    <row r="825" spans="1:7" x14ac:dyDescent="0.35">
      <c r="A825" t="s">
        <v>859</v>
      </c>
      <c r="B825" t="s">
        <v>91</v>
      </c>
      <c r="C825" t="s">
        <v>13</v>
      </c>
      <c r="D825">
        <v>2</v>
      </c>
      <c r="E825">
        <v>53597.13</v>
      </c>
      <c r="F825" t="s">
        <v>50</v>
      </c>
      <c r="G825" s="1">
        <v>46137</v>
      </c>
    </row>
    <row r="826" spans="1:7" x14ac:dyDescent="0.35">
      <c r="A826" t="s">
        <v>860</v>
      </c>
      <c r="B826" t="s">
        <v>72</v>
      </c>
      <c r="C826" t="s">
        <v>13</v>
      </c>
      <c r="D826">
        <v>4</v>
      </c>
      <c r="E826">
        <v>2238.23</v>
      </c>
      <c r="F826" t="s">
        <v>32</v>
      </c>
      <c r="G826" s="1">
        <v>46111</v>
      </c>
    </row>
    <row r="827" spans="1:7" x14ac:dyDescent="0.35">
      <c r="A827" t="s">
        <v>861</v>
      </c>
      <c r="B827" t="s">
        <v>72</v>
      </c>
      <c r="C827" t="s">
        <v>13</v>
      </c>
      <c r="D827">
        <v>3</v>
      </c>
      <c r="E827">
        <v>2309.54</v>
      </c>
      <c r="F827" t="s">
        <v>18</v>
      </c>
      <c r="G827" s="1">
        <v>46095</v>
      </c>
    </row>
    <row r="828" spans="1:7" x14ac:dyDescent="0.35">
      <c r="A828" t="s">
        <v>862</v>
      </c>
      <c r="B828" t="s">
        <v>91</v>
      </c>
      <c r="C828" t="s">
        <v>13</v>
      </c>
      <c r="D828">
        <v>4</v>
      </c>
      <c r="E828">
        <v>50046.16</v>
      </c>
      <c r="F828" t="s">
        <v>50</v>
      </c>
      <c r="G828" s="1">
        <v>46077</v>
      </c>
    </row>
    <row r="829" spans="1:7" x14ac:dyDescent="0.35">
      <c r="A829" t="s">
        <v>863</v>
      </c>
      <c r="B829" t="s">
        <v>38</v>
      </c>
      <c r="C829" t="s">
        <v>39</v>
      </c>
      <c r="D829">
        <v>2</v>
      </c>
      <c r="E829">
        <v>6691.59</v>
      </c>
      <c r="F829" t="s">
        <v>29</v>
      </c>
      <c r="G829" s="1">
        <v>46091</v>
      </c>
    </row>
    <row r="830" spans="1:7" x14ac:dyDescent="0.35">
      <c r="A830" t="s">
        <v>864</v>
      </c>
      <c r="B830" t="s">
        <v>8</v>
      </c>
      <c r="C830" t="s">
        <v>9</v>
      </c>
      <c r="D830">
        <v>4</v>
      </c>
      <c r="E830">
        <v>1804.78</v>
      </c>
      <c r="F830" t="s">
        <v>46</v>
      </c>
      <c r="G830" s="1">
        <v>46144</v>
      </c>
    </row>
    <row r="831" spans="1:7" x14ac:dyDescent="0.35">
      <c r="A831" t="s">
        <v>865</v>
      </c>
      <c r="B831" t="s">
        <v>72</v>
      </c>
      <c r="C831" t="s">
        <v>13</v>
      </c>
      <c r="D831">
        <v>2</v>
      </c>
      <c r="E831">
        <v>2244.5</v>
      </c>
      <c r="F831" t="s">
        <v>46</v>
      </c>
      <c r="G831" s="1">
        <v>46080</v>
      </c>
    </row>
    <row r="832" spans="1:7" x14ac:dyDescent="0.35">
      <c r="A832" t="s">
        <v>866</v>
      </c>
      <c r="B832" t="s">
        <v>24</v>
      </c>
      <c r="C832" t="s">
        <v>25</v>
      </c>
      <c r="D832">
        <v>5</v>
      </c>
      <c r="E832">
        <v>847.75</v>
      </c>
      <c r="F832" t="s">
        <v>10</v>
      </c>
      <c r="G832" s="1">
        <v>46187</v>
      </c>
    </row>
    <row r="833" spans="1:7" x14ac:dyDescent="0.35">
      <c r="A833" t="s">
        <v>867</v>
      </c>
      <c r="B833" t="s">
        <v>24</v>
      </c>
      <c r="C833" t="s">
        <v>25</v>
      </c>
      <c r="D833">
        <v>4</v>
      </c>
      <c r="E833">
        <v>862.2</v>
      </c>
      <c r="F833" t="s">
        <v>32</v>
      </c>
      <c r="G833" s="1">
        <v>46140</v>
      </c>
    </row>
    <row r="834" spans="1:7" x14ac:dyDescent="0.35">
      <c r="A834" t="s">
        <v>868</v>
      </c>
      <c r="B834" t="s">
        <v>24</v>
      </c>
      <c r="C834" t="s">
        <v>25</v>
      </c>
      <c r="D834">
        <v>2</v>
      </c>
      <c r="E834">
        <v>793.68</v>
      </c>
      <c r="F834" t="s">
        <v>14</v>
      </c>
      <c r="G834" s="1">
        <v>46182</v>
      </c>
    </row>
    <row r="835" spans="1:7" x14ac:dyDescent="0.35">
      <c r="A835" t="s">
        <v>869</v>
      </c>
      <c r="B835" t="s">
        <v>28</v>
      </c>
      <c r="C835" t="s">
        <v>9</v>
      </c>
      <c r="D835">
        <v>5</v>
      </c>
      <c r="E835">
        <v>4601.3900000000003</v>
      </c>
      <c r="F835" t="s">
        <v>14</v>
      </c>
      <c r="G835" s="1">
        <v>46192</v>
      </c>
    </row>
    <row r="836" spans="1:7" x14ac:dyDescent="0.35">
      <c r="A836" t="s">
        <v>870</v>
      </c>
      <c r="B836" t="s">
        <v>38</v>
      </c>
      <c r="C836" t="s">
        <v>39</v>
      </c>
      <c r="D836">
        <v>3</v>
      </c>
      <c r="E836">
        <v>6579.89</v>
      </c>
      <c r="F836" t="s">
        <v>50</v>
      </c>
      <c r="G836" s="1">
        <v>46178</v>
      </c>
    </row>
    <row r="837" spans="1:7" x14ac:dyDescent="0.35">
      <c r="A837" t="s">
        <v>871</v>
      </c>
      <c r="B837" t="s">
        <v>24</v>
      </c>
      <c r="C837" t="s">
        <v>25</v>
      </c>
      <c r="D837">
        <v>3</v>
      </c>
      <c r="E837">
        <v>828.47</v>
      </c>
      <c r="F837" t="s">
        <v>22</v>
      </c>
      <c r="G837" s="1">
        <v>46039</v>
      </c>
    </row>
    <row r="838" spans="1:7" x14ac:dyDescent="0.35">
      <c r="A838" t="s">
        <v>872</v>
      </c>
      <c r="B838" t="s">
        <v>55</v>
      </c>
      <c r="C838" t="s">
        <v>25</v>
      </c>
      <c r="D838">
        <v>3</v>
      </c>
      <c r="E838">
        <v>2569.27</v>
      </c>
      <c r="F838" t="s">
        <v>10</v>
      </c>
      <c r="G838" s="1">
        <v>46089</v>
      </c>
    </row>
    <row r="839" spans="1:7" x14ac:dyDescent="0.35">
      <c r="A839" t="s">
        <v>873</v>
      </c>
      <c r="B839" t="s">
        <v>8</v>
      </c>
      <c r="C839" t="s">
        <v>9</v>
      </c>
      <c r="D839">
        <v>3</v>
      </c>
      <c r="E839">
        <v>1687.81</v>
      </c>
      <c r="F839" t="s">
        <v>14</v>
      </c>
      <c r="G839" s="1">
        <v>46084</v>
      </c>
    </row>
    <row r="840" spans="1:7" x14ac:dyDescent="0.35">
      <c r="A840" t="s">
        <v>874</v>
      </c>
      <c r="B840" t="s">
        <v>91</v>
      </c>
      <c r="C840" t="s">
        <v>13</v>
      </c>
      <c r="D840">
        <v>5</v>
      </c>
      <c r="E840">
        <v>53945.08</v>
      </c>
      <c r="F840" t="s">
        <v>32</v>
      </c>
      <c r="G840" s="1">
        <v>46197</v>
      </c>
    </row>
    <row r="841" spans="1:7" x14ac:dyDescent="0.35">
      <c r="A841" t="s">
        <v>875</v>
      </c>
      <c r="B841" t="s">
        <v>72</v>
      </c>
      <c r="C841" t="s">
        <v>13</v>
      </c>
      <c r="D841">
        <v>1</v>
      </c>
      <c r="E841">
        <v>2268.38</v>
      </c>
      <c r="F841" t="s">
        <v>10</v>
      </c>
      <c r="G841" s="1">
        <v>46089</v>
      </c>
    </row>
    <row r="842" spans="1:7" x14ac:dyDescent="0.35">
      <c r="A842" t="s">
        <v>876</v>
      </c>
      <c r="B842" t="s">
        <v>28</v>
      </c>
      <c r="C842" t="s">
        <v>9</v>
      </c>
      <c r="D842">
        <v>4</v>
      </c>
      <c r="E842">
        <v>4887.3</v>
      </c>
      <c r="F842" t="s">
        <v>46</v>
      </c>
      <c r="G842" s="1">
        <v>46172</v>
      </c>
    </row>
    <row r="843" spans="1:7" x14ac:dyDescent="0.35">
      <c r="A843" t="s">
        <v>877</v>
      </c>
      <c r="B843" t="s">
        <v>21</v>
      </c>
      <c r="C843" t="s">
        <v>13</v>
      </c>
      <c r="D843">
        <v>5</v>
      </c>
      <c r="E843">
        <v>29769.68</v>
      </c>
      <c r="F843" t="s">
        <v>32</v>
      </c>
      <c r="G843" s="1">
        <v>46079</v>
      </c>
    </row>
    <row r="844" spans="1:7" x14ac:dyDescent="0.35">
      <c r="A844" t="s">
        <v>878</v>
      </c>
      <c r="B844" t="s">
        <v>8</v>
      </c>
      <c r="C844" t="s">
        <v>9</v>
      </c>
      <c r="D844">
        <v>5</v>
      </c>
      <c r="E844">
        <v>1849.79</v>
      </c>
      <c r="F844" t="s">
        <v>22</v>
      </c>
      <c r="G844" s="1">
        <v>46194</v>
      </c>
    </row>
    <row r="845" spans="1:7" x14ac:dyDescent="0.35">
      <c r="A845" t="s">
        <v>879</v>
      </c>
      <c r="B845" t="s">
        <v>55</v>
      </c>
      <c r="C845" t="s">
        <v>25</v>
      </c>
      <c r="D845">
        <v>5</v>
      </c>
      <c r="E845">
        <v>2399.14</v>
      </c>
      <c r="F845" t="s">
        <v>26</v>
      </c>
      <c r="G845" s="1">
        <v>46191</v>
      </c>
    </row>
    <row r="846" spans="1:7" x14ac:dyDescent="0.35">
      <c r="A846" t="s">
        <v>880</v>
      </c>
      <c r="B846" t="s">
        <v>80</v>
      </c>
      <c r="C846" t="s">
        <v>39</v>
      </c>
      <c r="D846">
        <v>2</v>
      </c>
      <c r="E846">
        <v>4026.78</v>
      </c>
      <c r="F846" t="s">
        <v>22</v>
      </c>
      <c r="G846" s="1">
        <v>46055</v>
      </c>
    </row>
    <row r="847" spans="1:7" x14ac:dyDescent="0.35">
      <c r="A847" t="s">
        <v>881</v>
      </c>
      <c r="B847" t="s">
        <v>21</v>
      </c>
      <c r="C847" t="s">
        <v>13</v>
      </c>
      <c r="D847">
        <v>3</v>
      </c>
      <c r="E847">
        <v>29261.05</v>
      </c>
      <c r="F847" t="s">
        <v>14</v>
      </c>
      <c r="G847" s="1">
        <v>46069</v>
      </c>
    </row>
    <row r="848" spans="1:7" x14ac:dyDescent="0.35">
      <c r="A848" t="s">
        <v>882</v>
      </c>
      <c r="B848" t="s">
        <v>8</v>
      </c>
      <c r="C848" t="s">
        <v>9</v>
      </c>
      <c r="D848">
        <v>3</v>
      </c>
      <c r="E848">
        <v>1855.6</v>
      </c>
      <c r="F848" t="s">
        <v>29</v>
      </c>
      <c r="G848" s="1">
        <v>46113</v>
      </c>
    </row>
    <row r="849" spans="1:7" x14ac:dyDescent="0.35">
      <c r="A849" t="s">
        <v>883</v>
      </c>
      <c r="B849" t="s">
        <v>12</v>
      </c>
      <c r="C849" t="s">
        <v>13</v>
      </c>
      <c r="D849">
        <v>3</v>
      </c>
      <c r="E849">
        <v>1476.14</v>
      </c>
      <c r="F849" t="s">
        <v>32</v>
      </c>
      <c r="G849" s="1">
        <v>46118</v>
      </c>
    </row>
    <row r="850" spans="1:7" x14ac:dyDescent="0.35">
      <c r="A850" t="s">
        <v>884</v>
      </c>
      <c r="B850" t="s">
        <v>24</v>
      </c>
      <c r="C850" t="s">
        <v>25</v>
      </c>
      <c r="D850">
        <v>5</v>
      </c>
      <c r="E850">
        <v>766.09</v>
      </c>
      <c r="F850" t="s">
        <v>18</v>
      </c>
      <c r="G850" s="1">
        <v>46143</v>
      </c>
    </row>
    <row r="851" spans="1:7" x14ac:dyDescent="0.35">
      <c r="A851" t="s">
        <v>885</v>
      </c>
      <c r="B851" t="s">
        <v>91</v>
      </c>
      <c r="C851" t="s">
        <v>13</v>
      </c>
      <c r="D851">
        <v>5</v>
      </c>
      <c r="E851">
        <v>55883.44</v>
      </c>
      <c r="F851" t="s">
        <v>50</v>
      </c>
      <c r="G851" s="1">
        <v>46041</v>
      </c>
    </row>
    <row r="852" spans="1:7" x14ac:dyDescent="0.35">
      <c r="A852" t="s">
        <v>886</v>
      </c>
      <c r="B852" t="s">
        <v>44</v>
      </c>
      <c r="C852" t="s">
        <v>39</v>
      </c>
      <c r="D852">
        <v>2</v>
      </c>
      <c r="E852">
        <v>3500.33</v>
      </c>
      <c r="F852" t="s">
        <v>48</v>
      </c>
      <c r="G852" s="1">
        <v>46158</v>
      </c>
    </row>
    <row r="853" spans="1:7" x14ac:dyDescent="0.35">
      <c r="A853" t="s">
        <v>887</v>
      </c>
      <c r="B853" t="s">
        <v>24</v>
      </c>
      <c r="C853" t="s">
        <v>25</v>
      </c>
      <c r="D853">
        <v>4</v>
      </c>
      <c r="E853">
        <v>727.74</v>
      </c>
      <c r="F853" t="s">
        <v>26</v>
      </c>
      <c r="G853" s="1">
        <v>46058</v>
      </c>
    </row>
    <row r="854" spans="1:7" x14ac:dyDescent="0.35">
      <c r="A854" t="s">
        <v>888</v>
      </c>
      <c r="B854" t="s">
        <v>12</v>
      </c>
      <c r="C854" t="s">
        <v>13</v>
      </c>
      <c r="D854">
        <v>3</v>
      </c>
      <c r="E854">
        <v>1472.76</v>
      </c>
      <c r="F854" t="s">
        <v>50</v>
      </c>
      <c r="G854" s="1">
        <v>46140</v>
      </c>
    </row>
    <row r="855" spans="1:7" x14ac:dyDescent="0.35">
      <c r="A855" t="s">
        <v>889</v>
      </c>
      <c r="B855" t="s">
        <v>72</v>
      </c>
      <c r="C855" t="s">
        <v>13</v>
      </c>
      <c r="D855">
        <v>3</v>
      </c>
      <c r="E855">
        <v>2359.4499999999998</v>
      </c>
      <c r="F855" t="s">
        <v>26</v>
      </c>
      <c r="G855" s="1">
        <v>46043</v>
      </c>
    </row>
    <row r="856" spans="1:7" x14ac:dyDescent="0.35">
      <c r="A856" t="s">
        <v>890</v>
      </c>
      <c r="B856" t="s">
        <v>44</v>
      </c>
      <c r="C856" t="s">
        <v>39</v>
      </c>
      <c r="D856">
        <v>3</v>
      </c>
      <c r="E856">
        <v>3591.72</v>
      </c>
      <c r="F856" t="s">
        <v>26</v>
      </c>
      <c r="G856" s="1">
        <v>46103</v>
      </c>
    </row>
    <row r="857" spans="1:7" x14ac:dyDescent="0.35">
      <c r="A857" t="s">
        <v>891</v>
      </c>
      <c r="B857" t="s">
        <v>8</v>
      </c>
      <c r="C857" t="s">
        <v>9</v>
      </c>
      <c r="D857">
        <v>1</v>
      </c>
      <c r="E857">
        <v>1621.7</v>
      </c>
      <c r="F857" t="s">
        <v>10</v>
      </c>
      <c r="G857" s="1">
        <v>46076</v>
      </c>
    </row>
    <row r="858" spans="1:7" x14ac:dyDescent="0.35">
      <c r="A858" t="s">
        <v>892</v>
      </c>
      <c r="B858" t="s">
        <v>62</v>
      </c>
      <c r="C858" t="s">
        <v>25</v>
      </c>
      <c r="D858">
        <v>2</v>
      </c>
      <c r="E858">
        <v>2029.5</v>
      </c>
      <c r="F858" t="s">
        <v>26</v>
      </c>
      <c r="G858" s="1">
        <v>46148</v>
      </c>
    </row>
    <row r="859" spans="1:7" x14ac:dyDescent="0.35">
      <c r="A859" t="s">
        <v>893</v>
      </c>
      <c r="B859" t="s">
        <v>62</v>
      </c>
      <c r="C859" t="s">
        <v>25</v>
      </c>
      <c r="D859">
        <v>1</v>
      </c>
      <c r="E859">
        <v>1850.84</v>
      </c>
      <c r="F859" t="s">
        <v>48</v>
      </c>
      <c r="G859" s="1">
        <v>46185</v>
      </c>
    </row>
    <row r="860" spans="1:7" x14ac:dyDescent="0.35">
      <c r="A860" t="s">
        <v>894</v>
      </c>
      <c r="B860" t="s">
        <v>28</v>
      </c>
      <c r="C860" t="s">
        <v>9</v>
      </c>
      <c r="D860">
        <v>4</v>
      </c>
      <c r="E860">
        <v>4928.04</v>
      </c>
      <c r="F860" t="s">
        <v>22</v>
      </c>
      <c r="G860" s="1">
        <v>46121</v>
      </c>
    </row>
    <row r="861" spans="1:7" x14ac:dyDescent="0.35">
      <c r="A861" t="s">
        <v>895</v>
      </c>
      <c r="B861" t="s">
        <v>91</v>
      </c>
      <c r="C861" t="s">
        <v>13</v>
      </c>
      <c r="D861">
        <v>1</v>
      </c>
      <c r="E861">
        <v>55371.61</v>
      </c>
      <c r="F861" t="s">
        <v>32</v>
      </c>
      <c r="G861" s="1">
        <v>46026</v>
      </c>
    </row>
    <row r="862" spans="1:7" x14ac:dyDescent="0.35">
      <c r="A862" t="s">
        <v>896</v>
      </c>
      <c r="B862" t="s">
        <v>55</v>
      </c>
      <c r="C862" t="s">
        <v>25</v>
      </c>
      <c r="D862">
        <v>5</v>
      </c>
      <c r="E862">
        <v>2344.35</v>
      </c>
      <c r="F862" t="s">
        <v>46</v>
      </c>
      <c r="G862" s="1">
        <v>46183</v>
      </c>
    </row>
    <row r="863" spans="1:7" x14ac:dyDescent="0.35">
      <c r="A863" t="s">
        <v>897</v>
      </c>
      <c r="B863" t="s">
        <v>21</v>
      </c>
      <c r="C863" t="s">
        <v>13</v>
      </c>
      <c r="D863">
        <v>2</v>
      </c>
      <c r="E863">
        <v>26467.09</v>
      </c>
      <c r="F863" t="s">
        <v>32</v>
      </c>
      <c r="G863" s="1">
        <v>46102</v>
      </c>
    </row>
    <row r="864" spans="1:7" x14ac:dyDescent="0.35">
      <c r="A864" t="s">
        <v>898</v>
      </c>
      <c r="B864" t="s">
        <v>72</v>
      </c>
      <c r="C864" t="s">
        <v>13</v>
      </c>
      <c r="D864">
        <v>1</v>
      </c>
      <c r="E864">
        <v>2148.7600000000002</v>
      </c>
      <c r="F864" t="s">
        <v>50</v>
      </c>
      <c r="G864" s="1">
        <v>46101</v>
      </c>
    </row>
    <row r="865" spans="1:7" x14ac:dyDescent="0.35">
      <c r="A865" t="s">
        <v>899</v>
      </c>
      <c r="B865" t="s">
        <v>72</v>
      </c>
      <c r="C865" t="s">
        <v>13</v>
      </c>
      <c r="D865">
        <v>1</v>
      </c>
      <c r="E865">
        <v>2342.4899999999998</v>
      </c>
      <c r="F865" t="s">
        <v>10</v>
      </c>
      <c r="G865" s="1">
        <v>46097</v>
      </c>
    </row>
    <row r="866" spans="1:7" x14ac:dyDescent="0.35">
      <c r="A866" t="s">
        <v>900</v>
      </c>
      <c r="B866" t="s">
        <v>44</v>
      </c>
      <c r="C866" t="s">
        <v>39</v>
      </c>
      <c r="D866">
        <v>5</v>
      </c>
      <c r="E866">
        <v>3567.46</v>
      </c>
      <c r="F866" t="s">
        <v>32</v>
      </c>
      <c r="G866" s="1">
        <v>46134</v>
      </c>
    </row>
    <row r="867" spans="1:7" x14ac:dyDescent="0.35">
      <c r="A867" t="s">
        <v>901</v>
      </c>
      <c r="B867" t="s">
        <v>8</v>
      </c>
      <c r="C867" t="s">
        <v>9</v>
      </c>
      <c r="D867">
        <v>2</v>
      </c>
      <c r="E867">
        <v>1743.38</v>
      </c>
      <c r="F867" t="s">
        <v>22</v>
      </c>
      <c r="G867" s="1">
        <v>46114</v>
      </c>
    </row>
    <row r="868" spans="1:7" x14ac:dyDescent="0.35">
      <c r="A868" t="s">
        <v>902</v>
      </c>
      <c r="B868" t="s">
        <v>62</v>
      </c>
      <c r="C868" t="s">
        <v>25</v>
      </c>
      <c r="D868">
        <v>2</v>
      </c>
      <c r="E868">
        <v>1865.02</v>
      </c>
      <c r="F868" t="s">
        <v>48</v>
      </c>
      <c r="G868" s="1">
        <v>46027</v>
      </c>
    </row>
    <row r="869" spans="1:7" x14ac:dyDescent="0.35">
      <c r="A869" t="s">
        <v>903</v>
      </c>
      <c r="B869" t="s">
        <v>12</v>
      </c>
      <c r="C869" t="s">
        <v>13</v>
      </c>
      <c r="D869">
        <v>2</v>
      </c>
      <c r="E869">
        <v>1568.15</v>
      </c>
      <c r="F869" t="s">
        <v>26</v>
      </c>
      <c r="G869" s="1">
        <v>46077</v>
      </c>
    </row>
    <row r="870" spans="1:7" x14ac:dyDescent="0.35">
      <c r="A870" t="s">
        <v>904</v>
      </c>
      <c r="B870" t="s">
        <v>21</v>
      </c>
      <c r="C870" t="s">
        <v>13</v>
      </c>
      <c r="D870">
        <v>1</v>
      </c>
      <c r="E870">
        <v>28502.28</v>
      </c>
      <c r="F870" t="s">
        <v>26</v>
      </c>
      <c r="G870" s="1">
        <v>46054</v>
      </c>
    </row>
    <row r="871" spans="1:7" x14ac:dyDescent="0.35">
      <c r="A871" t="s">
        <v>905</v>
      </c>
      <c r="B871" t="s">
        <v>55</v>
      </c>
      <c r="C871" t="s">
        <v>25</v>
      </c>
      <c r="D871">
        <v>1</v>
      </c>
      <c r="E871">
        <v>2436.62</v>
      </c>
      <c r="F871" t="s">
        <v>10</v>
      </c>
      <c r="G871" s="1">
        <v>46159</v>
      </c>
    </row>
    <row r="872" spans="1:7" x14ac:dyDescent="0.35">
      <c r="A872" t="s">
        <v>906</v>
      </c>
      <c r="B872" t="s">
        <v>16</v>
      </c>
      <c r="C872" t="s">
        <v>17</v>
      </c>
      <c r="D872">
        <v>1</v>
      </c>
      <c r="E872">
        <v>458.45</v>
      </c>
      <c r="F872" t="s">
        <v>46</v>
      </c>
      <c r="G872" s="1">
        <v>46192</v>
      </c>
    </row>
    <row r="873" spans="1:7" x14ac:dyDescent="0.35">
      <c r="A873" t="s">
        <v>907</v>
      </c>
      <c r="B873" t="s">
        <v>31</v>
      </c>
      <c r="C873" t="s">
        <v>13</v>
      </c>
      <c r="D873">
        <v>1</v>
      </c>
      <c r="E873">
        <v>16373.65</v>
      </c>
      <c r="F873" t="s">
        <v>18</v>
      </c>
      <c r="G873" s="1">
        <v>46129</v>
      </c>
    </row>
    <row r="874" spans="1:7" x14ac:dyDescent="0.35">
      <c r="A874" t="s">
        <v>908</v>
      </c>
      <c r="B874" t="s">
        <v>44</v>
      </c>
      <c r="C874" t="s">
        <v>39</v>
      </c>
      <c r="D874">
        <v>4</v>
      </c>
      <c r="E874">
        <v>3236.52</v>
      </c>
      <c r="F874" t="s">
        <v>10</v>
      </c>
      <c r="G874" s="1">
        <v>46144</v>
      </c>
    </row>
    <row r="875" spans="1:7" x14ac:dyDescent="0.35">
      <c r="A875" t="s">
        <v>909</v>
      </c>
      <c r="B875" t="s">
        <v>21</v>
      </c>
      <c r="C875" t="s">
        <v>13</v>
      </c>
      <c r="D875">
        <v>2</v>
      </c>
      <c r="E875">
        <v>26350.77</v>
      </c>
      <c r="F875" t="s">
        <v>46</v>
      </c>
      <c r="G875" s="1">
        <v>46100</v>
      </c>
    </row>
    <row r="876" spans="1:7" x14ac:dyDescent="0.35">
      <c r="A876" t="s">
        <v>910</v>
      </c>
      <c r="B876" t="s">
        <v>28</v>
      </c>
      <c r="C876" t="s">
        <v>9</v>
      </c>
      <c r="D876">
        <v>1</v>
      </c>
      <c r="E876">
        <v>5161.45</v>
      </c>
      <c r="F876" t="s">
        <v>10</v>
      </c>
      <c r="G876" s="1">
        <v>46182</v>
      </c>
    </row>
    <row r="877" spans="1:7" x14ac:dyDescent="0.35">
      <c r="A877" t="s">
        <v>911</v>
      </c>
      <c r="B877" t="s">
        <v>16</v>
      </c>
      <c r="C877" t="s">
        <v>17</v>
      </c>
      <c r="D877">
        <v>2</v>
      </c>
      <c r="E877">
        <v>442.69</v>
      </c>
      <c r="F877" t="s">
        <v>18</v>
      </c>
      <c r="G877" s="1">
        <v>46153</v>
      </c>
    </row>
    <row r="878" spans="1:7" x14ac:dyDescent="0.35">
      <c r="A878" t="s">
        <v>912</v>
      </c>
      <c r="B878" t="s">
        <v>21</v>
      </c>
      <c r="C878" t="s">
        <v>13</v>
      </c>
      <c r="D878">
        <v>5</v>
      </c>
      <c r="E878">
        <v>25859.31</v>
      </c>
      <c r="F878" t="s">
        <v>18</v>
      </c>
      <c r="G878" s="1">
        <v>46050</v>
      </c>
    </row>
    <row r="879" spans="1:7" x14ac:dyDescent="0.35">
      <c r="A879" t="s">
        <v>913</v>
      </c>
      <c r="B879" t="s">
        <v>44</v>
      </c>
      <c r="C879" t="s">
        <v>39</v>
      </c>
      <c r="D879">
        <v>2</v>
      </c>
      <c r="E879">
        <v>3576.3</v>
      </c>
      <c r="F879" t="s">
        <v>10</v>
      </c>
      <c r="G879" s="1">
        <v>46156</v>
      </c>
    </row>
    <row r="880" spans="1:7" x14ac:dyDescent="0.35">
      <c r="A880" t="s">
        <v>914</v>
      </c>
      <c r="B880" t="s">
        <v>12</v>
      </c>
      <c r="C880" t="s">
        <v>13</v>
      </c>
      <c r="D880">
        <v>3</v>
      </c>
      <c r="E880">
        <v>1561.03</v>
      </c>
      <c r="F880" t="s">
        <v>10</v>
      </c>
      <c r="G880" s="1">
        <v>46064</v>
      </c>
    </row>
    <row r="881" spans="1:7" x14ac:dyDescent="0.35">
      <c r="A881" t="s">
        <v>915</v>
      </c>
      <c r="B881" t="s">
        <v>91</v>
      </c>
      <c r="C881" t="s">
        <v>13</v>
      </c>
      <c r="D881">
        <v>5</v>
      </c>
      <c r="E881">
        <v>54959.9</v>
      </c>
      <c r="F881" t="s">
        <v>29</v>
      </c>
      <c r="G881" s="1">
        <v>46199</v>
      </c>
    </row>
    <row r="882" spans="1:7" x14ac:dyDescent="0.35">
      <c r="A882" t="s">
        <v>916</v>
      </c>
      <c r="B882" t="s">
        <v>44</v>
      </c>
      <c r="C882" t="s">
        <v>39</v>
      </c>
      <c r="D882">
        <v>3</v>
      </c>
      <c r="E882">
        <v>3314.15</v>
      </c>
      <c r="F882" t="s">
        <v>46</v>
      </c>
      <c r="G882" s="1">
        <v>46194</v>
      </c>
    </row>
    <row r="883" spans="1:7" x14ac:dyDescent="0.35">
      <c r="A883" t="s">
        <v>917</v>
      </c>
      <c r="B883" t="s">
        <v>31</v>
      </c>
      <c r="C883" t="s">
        <v>13</v>
      </c>
      <c r="D883">
        <v>1</v>
      </c>
      <c r="E883">
        <v>19206.84</v>
      </c>
      <c r="F883" t="s">
        <v>22</v>
      </c>
      <c r="G883" s="1">
        <v>46061</v>
      </c>
    </row>
    <row r="884" spans="1:7" x14ac:dyDescent="0.35">
      <c r="A884" t="s">
        <v>918</v>
      </c>
      <c r="B884" t="s">
        <v>31</v>
      </c>
      <c r="C884" t="s">
        <v>13</v>
      </c>
      <c r="D884">
        <v>5</v>
      </c>
      <c r="E884">
        <v>16470.169999999998</v>
      </c>
      <c r="F884" t="s">
        <v>18</v>
      </c>
      <c r="G884" s="1">
        <v>46088</v>
      </c>
    </row>
    <row r="885" spans="1:7" x14ac:dyDescent="0.35">
      <c r="A885" t="s">
        <v>919</v>
      </c>
      <c r="B885" t="s">
        <v>8</v>
      </c>
      <c r="C885" t="s">
        <v>9</v>
      </c>
      <c r="D885">
        <v>2</v>
      </c>
      <c r="E885">
        <v>1784.43</v>
      </c>
      <c r="F885" t="s">
        <v>10</v>
      </c>
      <c r="G885" s="1">
        <v>46090</v>
      </c>
    </row>
    <row r="886" spans="1:7" x14ac:dyDescent="0.35">
      <c r="A886" t="s">
        <v>920</v>
      </c>
      <c r="B886" t="s">
        <v>44</v>
      </c>
      <c r="C886" t="s">
        <v>39</v>
      </c>
      <c r="D886">
        <v>1</v>
      </c>
      <c r="E886">
        <v>3219.87</v>
      </c>
      <c r="F886" t="s">
        <v>26</v>
      </c>
      <c r="G886" s="1">
        <v>46033</v>
      </c>
    </row>
    <row r="887" spans="1:7" x14ac:dyDescent="0.35">
      <c r="A887" t="s">
        <v>921</v>
      </c>
      <c r="B887" t="s">
        <v>38</v>
      </c>
      <c r="C887" t="s">
        <v>39</v>
      </c>
      <c r="D887">
        <v>3</v>
      </c>
      <c r="E887">
        <v>6318.28</v>
      </c>
      <c r="F887" t="s">
        <v>32</v>
      </c>
      <c r="G887" s="1">
        <v>46132</v>
      </c>
    </row>
    <row r="888" spans="1:7" x14ac:dyDescent="0.35">
      <c r="A888" t="s">
        <v>922</v>
      </c>
      <c r="B888" t="s">
        <v>21</v>
      </c>
      <c r="C888" t="s">
        <v>13</v>
      </c>
      <c r="D888">
        <v>1</v>
      </c>
      <c r="E888">
        <v>25731.99</v>
      </c>
      <c r="F888" t="s">
        <v>46</v>
      </c>
      <c r="G888" s="1">
        <v>46025</v>
      </c>
    </row>
    <row r="889" spans="1:7" x14ac:dyDescent="0.35">
      <c r="A889" t="s">
        <v>923</v>
      </c>
      <c r="B889" t="s">
        <v>38</v>
      </c>
      <c r="C889" t="s">
        <v>39</v>
      </c>
      <c r="D889">
        <v>2</v>
      </c>
      <c r="E889">
        <v>6712.36</v>
      </c>
      <c r="F889" t="s">
        <v>26</v>
      </c>
      <c r="G889" s="1">
        <v>46107</v>
      </c>
    </row>
    <row r="890" spans="1:7" x14ac:dyDescent="0.35">
      <c r="A890" t="s">
        <v>924</v>
      </c>
      <c r="B890" t="s">
        <v>55</v>
      </c>
      <c r="C890" t="s">
        <v>25</v>
      </c>
      <c r="D890">
        <v>4</v>
      </c>
      <c r="E890">
        <v>2726.45</v>
      </c>
      <c r="F890" t="s">
        <v>10</v>
      </c>
      <c r="G890" s="1">
        <v>46046</v>
      </c>
    </row>
    <row r="891" spans="1:7" x14ac:dyDescent="0.35">
      <c r="A891" t="s">
        <v>925</v>
      </c>
      <c r="B891" t="s">
        <v>55</v>
      </c>
      <c r="C891" t="s">
        <v>25</v>
      </c>
      <c r="D891">
        <v>3</v>
      </c>
      <c r="E891">
        <v>2340.5</v>
      </c>
      <c r="F891" t="s">
        <v>48</v>
      </c>
      <c r="G891" s="1">
        <v>46125</v>
      </c>
    </row>
    <row r="892" spans="1:7" x14ac:dyDescent="0.35">
      <c r="A892" t="s">
        <v>926</v>
      </c>
      <c r="B892" t="s">
        <v>44</v>
      </c>
      <c r="C892" t="s">
        <v>39</v>
      </c>
      <c r="D892">
        <v>3</v>
      </c>
      <c r="E892">
        <v>3735</v>
      </c>
      <c r="F892" t="s">
        <v>22</v>
      </c>
      <c r="G892" s="1">
        <v>46130</v>
      </c>
    </row>
    <row r="893" spans="1:7" x14ac:dyDescent="0.35">
      <c r="A893" t="s">
        <v>927</v>
      </c>
      <c r="B893" t="s">
        <v>8</v>
      </c>
      <c r="C893" t="s">
        <v>9</v>
      </c>
      <c r="D893">
        <v>2</v>
      </c>
      <c r="E893">
        <v>1660.7</v>
      </c>
      <c r="F893" t="s">
        <v>46</v>
      </c>
      <c r="G893" s="1">
        <v>46063</v>
      </c>
    </row>
    <row r="894" spans="1:7" x14ac:dyDescent="0.35">
      <c r="A894" t="s">
        <v>928</v>
      </c>
      <c r="B894" t="s">
        <v>31</v>
      </c>
      <c r="C894" t="s">
        <v>13</v>
      </c>
      <c r="D894">
        <v>4</v>
      </c>
      <c r="E894">
        <v>19480.419999999998</v>
      </c>
      <c r="F894" t="s">
        <v>22</v>
      </c>
      <c r="G894" s="1">
        <v>46168</v>
      </c>
    </row>
    <row r="895" spans="1:7" x14ac:dyDescent="0.35">
      <c r="A895" t="s">
        <v>929</v>
      </c>
      <c r="B895" t="s">
        <v>8</v>
      </c>
      <c r="C895" t="s">
        <v>9</v>
      </c>
      <c r="D895">
        <v>4</v>
      </c>
      <c r="E895">
        <v>1685.25</v>
      </c>
      <c r="F895" t="s">
        <v>48</v>
      </c>
      <c r="G895" s="1">
        <v>46114</v>
      </c>
    </row>
    <row r="896" spans="1:7" x14ac:dyDescent="0.35">
      <c r="A896" t="s">
        <v>930</v>
      </c>
      <c r="B896" t="s">
        <v>16</v>
      </c>
      <c r="C896" t="s">
        <v>17</v>
      </c>
      <c r="D896">
        <v>1</v>
      </c>
      <c r="E896">
        <v>482.63</v>
      </c>
      <c r="F896" t="s">
        <v>26</v>
      </c>
      <c r="G896" s="1">
        <v>46146</v>
      </c>
    </row>
    <row r="897" spans="1:7" x14ac:dyDescent="0.35">
      <c r="A897" t="s">
        <v>931</v>
      </c>
      <c r="B897" t="s">
        <v>44</v>
      </c>
      <c r="C897" t="s">
        <v>39</v>
      </c>
      <c r="D897">
        <v>1</v>
      </c>
      <c r="E897">
        <v>3771.32</v>
      </c>
      <c r="F897" t="s">
        <v>22</v>
      </c>
      <c r="G897" s="1">
        <v>46034</v>
      </c>
    </row>
    <row r="898" spans="1:7" x14ac:dyDescent="0.35">
      <c r="A898" t="s">
        <v>932</v>
      </c>
      <c r="B898" t="s">
        <v>31</v>
      </c>
      <c r="C898" t="s">
        <v>13</v>
      </c>
      <c r="D898">
        <v>3</v>
      </c>
      <c r="E898">
        <v>18557.900000000001</v>
      </c>
      <c r="F898" t="s">
        <v>46</v>
      </c>
      <c r="G898" s="1">
        <v>46196</v>
      </c>
    </row>
    <row r="899" spans="1:7" x14ac:dyDescent="0.35">
      <c r="A899" t="s">
        <v>933</v>
      </c>
      <c r="B899" t="s">
        <v>80</v>
      </c>
      <c r="C899" t="s">
        <v>39</v>
      </c>
      <c r="D899">
        <v>5</v>
      </c>
      <c r="E899">
        <v>4387.97</v>
      </c>
      <c r="F899" t="s">
        <v>29</v>
      </c>
      <c r="G899" s="1">
        <v>46194</v>
      </c>
    </row>
    <row r="900" spans="1:7" x14ac:dyDescent="0.35">
      <c r="A900" t="s">
        <v>934</v>
      </c>
      <c r="B900" t="s">
        <v>38</v>
      </c>
      <c r="C900" t="s">
        <v>39</v>
      </c>
      <c r="D900">
        <v>3</v>
      </c>
      <c r="E900">
        <v>6524.83</v>
      </c>
      <c r="F900" t="s">
        <v>50</v>
      </c>
      <c r="G900" s="1">
        <v>46047</v>
      </c>
    </row>
    <row r="901" spans="1:7" x14ac:dyDescent="0.35">
      <c r="A901" t="s">
        <v>935</v>
      </c>
      <c r="B901" t="s">
        <v>28</v>
      </c>
      <c r="C901" t="s">
        <v>9</v>
      </c>
      <c r="D901">
        <v>2</v>
      </c>
      <c r="E901">
        <v>4980.93</v>
      </c>
      <c r="F901" t="s">
        <v>48</v>
      </c>
      <c r="G901" s="1">
        <v>46061</v>
      </c>
    </row>
    <row r="902" spans="1:7" x14ac:dyDescent="0.35">
      <c r="A902" t="s">
        <v>936</v>
      </c>
      <c r="B902" t="s">
        <v>38</v>
      </c>
      <c r="C902" t="s">
        <v>39</v>
      </c>
      <c r="D902">
        <v>5</v>
      </c>
      <c r="E902">
        <v>7009.68</v>
      </c>
      <c r="F902" t="s">
        <v>50</v>
      </c>
      <c r="G902" s="1">
        <v>46036</v>
      </c>
    </row>
    <row r="903" spans="1:7" x14ac:dyDescent="0.35">
      <c r="A903" t="s">
        <v>937</v>
      </c>
      <c r="B903" t="s">
        <v>91</v>
      </c>
      <c r="C903" t="s">
        <v>13</v>
      </c>
      <c r="D903">
        <v>2</v>
      </c>
      <c r="E903">
        <v>55061.24</v>
      </c>
      <c r="F903" t="s">
        <v>22</v>
      </c>
      <c r="G903" s="1">
        <v>46149</v>
      </c>
    </row>
    <row r="904" spans="1:7" x14ac:dyDescent="0.35">
      <c r="A904" t="s">
        <v>938</v>
      </c>
      <c r="B904" t="s">
        <v>38</v>
      </c>
      <c r="C904" t="s">
        <v>39</v>
      </c>
      <c r="D904">
        <v>2</v>
      </c>
      <c r="E904">
        <v>5947.32</v>
      </c>
      <c r="F904" t="s">
        <v>22</v>
      </c>
      <c r="G904" s="1">
        <v>46105</v>
      </c>
    </row>
    <row r="905" spans="1:7" x14ac:dyDescent="0.35">
      <c r="A905" t="s">
        <v>939</v>
      </c>
      <c r="B905" t="s">
        <v>12</v>
      </c>
      <c r="C905" t="s">
        <v>13</v>
      </c>
      <c r="D905">
        <v>3</v>
      </c>
      <c r="E905">
        <v>1641.04</v>
      </c>
      <c r="F905" t="s">
        <v>46</v>
      </c>
      <c r="G905" s="1">
        <v>46152</v>
      </c>
    </row>
    <row r="906" spans="1:7" x14ac:dyDescent="0.35">
      <c r="A906" t="s">
        <v>940</v>
      </c>
      <c r="B906" t="s">
        <v>12</v>
      </c>
      <c r="C906" t="s">
        <v>13</v>
      </c>
      <c r="D906">
        <v>5</v>
      </c>
      <c r="E906">
        <v>1543</v>
      </c>
      <c r="F906" t="s">
        <v>48</v>
      </c>
      <c r="G906" s="1">
        <v>46083</v>
      </c>
    </row>
    <row r="907" spans="1:7" x14ac:dyDescent="0.35">
      <c r="A907" t="s">
        <v>941</v>
      </c>
      <c r="B907" t="s">
        <v>31</v>
      </c>
      <c r="C907" t="s">
        <v>13</v>
      </c>
      <c r="D907">
        <v>4</v>
      </c>
      <c r="E907">
        <v>17799.080000000002</v>
      </c>
      <c r="F907" t="s">
        <v>50</v>
      </c>
      <c r="G907" s="1">
        <v>46137</v>
      </c>
    </row>
    <row r="908" spans="1:7" x14ac:dyDescent="0.35">
      <c r="A908" t="s">
        <v>942</v>
      </c>
      <c r="B908" t="s">
        <v>31</v>
      </c>
      <c r="C908" t="s">
        <v>13</v>
      </c>
      <c r="D908">
        <v>4</v>
      </c>
      <c r="E908">
        <v>17809.45</v>
      </c>
      <c r="F908" t="s">
        <v>18</v>
      </c>
      <c r="G908" s="1">
        <v>46150</v>
      </c>
    </row>
    <row r="909" spans="1:7" x14ac:dyDescent="0.35">
      <c r="A909" t="s">
        <v>943</v>
      </c>
      <c r="B909" t="s">
        <v>21</v>
      </c>
      <c r="C909" t="s">
        <v>13</v>
      </c>
      <c r="D909">
        <v>1</v>
      </c>
      <c r="E909">
        <v>25774.799999999999</v>
      </c>
      <c r="F909" t="s">
        <v>48</v>
      </c>
      <c r="G909" s="1">
        <v>46032</v>
      </c>
    </row>
    <row r="910" spans="1:7" x14ac:dyDescent="0.35">
      <c r="A910" t="s">
        <v>944</v>
      </c>
      <c r="B910" t="s">
        <v>80</v>
      </c>
      <c r="C910" t="s">
        <v>39</v>
      </c>
      <c r="D910">
        <v>5</v>
      </c>
      <c r="E910">
        <v>3780.14</v>
      </c>
      <c r="F910" t="s">
        <v>18</v>
      </c>
      <c r="G910" s="1">
        <v>46177</v>
      </c>
    </row>
    <row r="911" spans="1:7" x14ac:dyDescent="0.35">
      <c r="A911" t="s">
        <v>945</v>
      </c>
      <c r="B911" t="s">
        <v>16</v>
      </c>
      <c r="C911" t="s">
        <v>17</v>
      </c>
      <c r="D911">
        <v>3</v>
      </c>
      <c r="E911">
        <v>485.11</v>
      </c>
      <c r="F911" t="s">
        <v>14</v>
      </c>
      <c r="G911" s="1">
        <v>46075</v>
      </c>
    </row>
    <row r="912" spans="1:7" x14ac:dyDescent="0.35">
      <c r="A912" t="s">
        <v>946</v>
      </c>
      <c r="B912" t="s">
        <v>8</v>
      </c>
      <c r="C912" t="s">
        <v>9</v>
      </c>
      <c r="D912">
        <v>4</v>
      </c>
      <c r="E912">
        <v>1962.13</v>
      </c>
      <c r="F912" t="s">
        <v>32</v>
      </c>
      <c r="G912" s="1">
        <v>46036</v>
      </c>
    </row>
    <row r="913" spans="1:7" x14ac:dyDescent="0.35">
      <c r="A913" t="s">
        <v>947</v>
      </c>
      <c r="B913" t="s">
        <v>38</v>
      </c>
      <c r="C913" t="s">
        <v>39</v>
      </c>
      <c r="D913">
        <v>2</v>
      </c>
      <c r="E913">
        <v>6947.61</v>
      </c>
      <c r="F913" t="s">
        <v>32</v>
      </c>
      <c r="G913" s="1">
        <v>46166</v>
      </c>
    </row>
    <row r="914" spans="1:7" x14ac:dyDescent="0.35">
      <c r="A914" t="s">
        <v>948</v>
      </c>
      <c r="B914" t="s">
        <v>62</v>
      </c>
      <c r="C914" t="s">
        <v>25</v>
      </c>
      <c r="D914">
        <v>5</v>
      </c>
      <c r="E914">
        <v>2038.96</v>
      </c>
      <c r="F914" t="s">
        <v>32</v>
      </c>
      <c r="G914" s="1">
        <v>46138</v>
      </c>
    </row>
    <row r="915" spans="1:7" x14ac:dyDescent="0.35">
      <c r="A915" t="s">
        <v>949</v>
      </c>
      <c r="B915" t="s">
        <v>31</v>
      </c>
      <c r="C915" t="s">
        <v>13</v>
      </c>
      <c r="D915">
        <v>1</v>
      </c>
      <c r="E915">
        <v>18933.55</v>
      </c>
      <c r="F915" t="s">
        <v>29</v>
      </c>
      <c r="G915" s="1">
        <v>46023</v>
      </c>
    </row>
    <row r="916" spans="1:7" x14ac:dyDescent="0.35">
      <c r="A916" t="s">
        <v>950</v>
      </c>
      <c r="B916" t="s">
        <v>55</v>
      </c>
      <c r="C916" t="s">
        <v>25</v>
      </c>
      <c r="D916">
        <v>3</v>
      </c>
      <c r="E916">
        <v>2663.88</v>
      </c>
      <c r="F916" t="s">
        <v>10</v>
      </c>
      <c r="G916" s="1">
        <v>46163</v>
      </c>
    </row>
    <row r="917" spans="1:7" x14ac:dyDescent="0.35">
      <c r="A917" t="s">
        <v>951</v>
      </c>
      <c r="B917" t="s">
        <v>80</v>
      </c>
      <c r="C917" t="s">
        <v>39</v>
      </c>
      <c r="D917">
        <v>3</v>
      </c>
      <c r="E917">
        <v>4369.76</v>
      </c>
      <c r="F917" t="s">
        <v>46</v>
      </c>
      <c r="G917" s="1">
        <v>46065</v>
      </c>
    </row>
    <row r="918" spans="1:7" x14ac:dyDescent="0.35">
      <c r="A918" t="s">
        <v>952</v>
      </c>
      <c r="B918" t="s">
        <v>44</v>
      </c>
      <c r="C918" t="s">
        <v>39</v>
      </c>
      <c r="D918">
        <v>2</v>
      </c>
      <c r="E918">
        <v>3725.29</v>
      </c>
      <c r="F918" t="s">
        <v>48</v>
      </c>
      <c r="G918" s="1">
        <v>46050</v>
      </c>
    </row>
    <row r="919" spans="1:7" x14ac:dyDescent="0.35">
      <c r="A919" t="s">
        <v>953</v>
      </c>
      <c r="B919" t="s">
        <v>24</v>
      </c>
      <c r="C919" t="s">
        <v>25</v>
      </c>
      <c r="D919">
        <v>5</v>
      </c>
      <c r="E919">
        <v>750.41</v>
      </c>
      <c r="F919" t="s">
        <v>18</v>
      </c>
      <c r="G919" s="1">
        <v>46123</v>
      </c>
    </row>
    <row r="920" spans="1:7" x14ac:dyDescent="0.35">
      <c r="A920" t="s">
        <v>954</v>
      </c>
      <c r="B920" t="s">
        <v>12</v>
      </c>
      <c r="C920" t="s">
        <v>13</v>
      </c>
      <c r="D920">
        <v>4</v>
      </c>
      <c r="E920">
        <v>1597.37</v>
      </c>
      <c r="F920" t="s">
        <v>29</v>
      </c>
      <c r="G920" s="1">
        <v>46109</v>
      </c>
    </row>
    <row r="921" spans="1:7" x14ac:dyDescent="0.35">
      <c r="A921" t="s">
        <v>955</v>
      </c>
      <c r="B921" t="s">
        <v>31</v>
      </c>
      <c r="C921" t="s">
        <v>13</v>
      </c>
      <c r="D921">
        <v>4</v>
      </c>
      <c r="E921">
        <v>16367.4</v>
      </c>
      <c r="F921" t="s">
        <v>50</v>
      </c>
      <c r="G921" s="1">
        <v>46054</v>
      </c>
    </row>
    <row r="922" spans="1:7" x14ac:dyDescent="0.35">
      <c r="A922" t="s">
        <v>956</v>
      </c>
      <c r="B922" t="s">
        <v>62</v>
      </c>
      <c r="C922" t="s">
        <v>25</v>
      </c>
      <c r="D922">
        <v>4</v>
      </c>
      <c r="E922">
        <v>1981.96</v>
      </c>
      <c r="F922" t="s">
        <v>50</v>
      </c>
      <c r="G922" s="1">
        <v>46152</v>
      </c>
    </row>
    <row r="923" spans="1:7" x14ac:dyDescent="0.35">
      <c r="A923" t="s">
        <v>957</v>
      </c>
      <c r="B923" t="s">
        <v>72</v>
      </c>
      <c r="C923" t="s">
        <v>13</v>
      </c>
      <c r="D923">
        <v>4</v>
      </c>
      <c r="E923">
        <v>1981.91</v>
      </c>
      <c r="F923" t="s">
        <v>46</v>
      </c>
      <c r="G923" s="1">
        <v>46164</v>
      </c>
    </row>
    <row r="924" spans="1:7" x14ac:dyDescent="0.35">
      <c r="A924" t="s">
        <v>958</v>
      </c>
      <c r="B924" t="s">
        <v>28</v>
      </c>
      <c r="C924" t="s">
        <v>9</v>
      </c>
      <c r="D924">
        <v>5</v>
      </c>
      <c r="E924">
        <v>4981.9399999999996</v>
      </c>
      <c r="F924" t="s">
        <v>14</v>
      </c>
      <c r="G924" s="1">
        <v>46068</v>
      </c>
    </row>
    <row r="925" spans="1:7" x14ac:dyDescent="0.35">
      <c r="A925" t="s">
        <v>959</v>
      </c>
      <c r="B925" t="s">
        <v>21</v>
      </c>
      <c r="C925" t="s">
        <v>13</v>
      </c>
      <c r="D925">
        <v>5</v>
      </c>
      <c r="E925">
        <v>26172.44</v>
      </c>
      <c r="F925" t="s">
        <v>26</v>
      </c>
      <c r="G925" s="1">
        <v>46049</v>
      </c>
    </row>
    <row r="926" spans="1:7" x14ac:dyDescent="0.35">
      <c r="A926" t="s">
        <v>960</v>
      </c>
      <c r="B926" t="s">
        <v>28</v>
      </c>
      <c r="C926" t="s">
        <v>9</v>
      </c>
      <c r="D926">
        <v>5</v>
      </c>
      <c r="E926">
        <v>5105.1400000000003</v>
      </c>
      <c r="F926" t="s">
        <v>32</v>
      </c>
      <c r="G926" s="1">
        <v>46152</v>
      </c>
    </row>
    <row r="927" spans="1:7" x14ac:dyDescent="0.35">
      <c r="A927" t="s">
        <v>961</v>
      </c>
      <c r="B927" t="s">
        <v>28</v>
      </c>
      <c r="C927" t="s">
        <v>9</v>
      </c>
      <c r="D927">
        <v>4</v>
      </c>
      <c r="E927">
        <v>5478.4</v>
      </c>
      <c r="F927" t="s">
        <v>29</v>
      </c>
      <c r="G927" s="1">
        <v>46093</v>
      </c>
    </row>
    <row r="928" spans="1:7" x14ac:dyDescent="0.35">
      <c r="A928" t="s">
        <v>962</v>
      </c>
      <c r="B928" t="s">
        <v>28</v>
      </c>
      <c r="C928" t="s">
        <v>9</v>
      </c>
      <c r="D928">
        <v>3</v>
      </c>
      <c r="E928">
        <v>5469.4</v>
      </c>
      <c r="F928" t="s">
        <v>22</v>
      </c>
      <c r="G928" s="1">
        <v>46057</v>
      </c>
    </row>
    <row r="929" spans="1:7" x14ac:dyDescent="0.35">
      <c r="A929" t="s">
        <v>963</v>
      </c>
      <c r="B929" t="s">
        <v>72</v>
      </c>
      <c r="C929" t="s">
        <v>13</v>
      </c>
      <c r="D929">
        <v>4</v>
      </c>
      <c r="E929">
        <v>2245.11</v>
      </c>
      <c r="F929" t="s">
        <v>14</v>
      </c>
      <c r="G929" s="1">
        <v>46099</v>
      </c>
    </row>
    <row r="930" spans="1:7" x14ac:dyDescent="0.35">
      <c r="A930" t="s">
        <v>964</v>
      </c>
      <c r="B930" t="s">
        <v>38</v>
      </c>
      <c r="C930" t="s">
        <v>39</v>
      </c>
      <c r="D930">
        <v>5</v>
      </c>
      <c r="E930">
        <v>6968.92</v>
      </c>
      <c r="F930" t="s">
        <v>14</v>
      </c>
      <c r="G930" s="1">
        <v>46184</v>
      </c>
    </row>
    <row r="931" spans="1:7" x14ac:dyDescent="0.35">
      <c r="A931" t="s">
        <v>965</v>
      </c>
      <c r="B931" t="s">
        <v>12</v>
      </c>
      <c r="C931" t="s">
        <v>13</v>
      </c>
      <c r="D931">
        <v>2</v>
      </c>
      <c r="E931">
        <v>1412.91</v>
      </c>
      <c r="F931" t="s">
        <v>10</v>
      </c>
      <c r="G931" s="1">
        <v>46198</v>
      </c>
    </row>
    <row r="932" spans="1:7" x14ac:dyDescent="0.35">
      <c r="A932" t="s">
        <v>966</v>
      </c>
      <c r="B932" t="s">
        <v>55</v>
      </c>
      <c r="C932" t="s">
        <v>25</v>
      </c>
      <c r="D932">
        <v>2</v>
      </c>
      <c r="E932">
        <v>2739.57</v>
      </c>
      <c r="F932" t="s">
        <v>26</v>
      </c>
      <c r="G932" s="1">
        <v>46151</v>
      </c>
    </row>
    <row r="933" spans="1:7" x14ac:dyDescent="0.35">
      <c r="A933" t="s">
        <v>967</v>
      </c>
      <c r="B933" t="s">
        <v>80</v>
      </c>
      <c r="C933" t="s">
        <v>39</v>
      </c>
      <c r="D933">
        <v>3</v>
      </c>
      <c r="E933">
        <v>4376.7</v>
      </c>
      <c r="F933" t="s">
        <v>32</v>
      </c>
      <c r="G933" s="1">
        <v>46166</v>
      </c>
    </row>
    <row r="934" spans="1:7" x14ac:dyDescent="0.35">
      <c r="A934" t="s">
        <v>968</v>
      </c>
      <c r="B934" t="s">
        <v>44</v>
      </c>
      <c r="C934" t="s">
        <v>39</v>
      </c>
      <c r="D934">
        <v>5</v>
      </c>
      <c r="E934">
        <v>3549.45</v>
      </c>
      <c r="F934" t="s">
        <v>48</v>
      </c>
      <c r="G934" s="1">
        <v>46195</v>
      </c>
    </row>
    <row r="935" spans="1:7" x14ac:dyDescent="0.35">
      <c r="A935" t="s">
        <v>969</v>
      </c>
      <c r="B935" t="s">
        <v>21</v>
      </c>
      <c r="C935" t="s">
        <v>13</v>
      </c>
      <c r="D935">
        <v>5</v>
      </c>
      <c r="E935">
        <v>26801.200000000001</v>
      </c>
      <c r="F935" t="s">
        <v>48</v>
      </c>
      <c r="G935" s="1">
        <v>46026</v>
      </c>
    </row>
    <row r="936" spans="1:7" x14ac:dyDescent="0.35">
      <c r="A936" t="s">
        <v>970</v>
      </c>
      <c r="B936" t="s">
        <v>80</v>
      </c>
      <c r="C936" t="s">
        <v>39</v>
      </c>
      <c r="D936">
        <v>1</v>
      </c>
      <c r="E936">
        <v>3801.23</v>
      </c>
      <c r="F936" t="s">
        <v>26</v>
      </c>
      <c r="G936" s="1">
        <v>46036</v>
      </c>
    </row>
    <row r="937" spans="1:7" x14ac:dyDescent="0.35">
      <c r="A937" t="s">
        <v>971</v>
      </c>
      <c r="B937" t="s">
        <v>8</v>
      </c>
      <c r="C937" t="s">
        <v>9</v>
      </c>
      <c r="D937">
        <v>1</v>
      </c>
      <c r="E937">
        <v>1691.96</v>
      </c>
      <c r="F937" t="s">
        <v>26</v>
      </c>
      <c r="G937" s="1">
        <v>46096</v>
      </c>
    </row>
    <row r="938" spans="1:7" x14ac:dyDescent="0.35">
      <c r="A938" t="s">
        <v>972</v>
      </c>
      <c r="B938" t="s">
        <v>8</v>
      </c>
      <c r="C938" t="s">
        <v>9</v>
      </c>
      <c r="D938">
        <v>3</v>
      </c>
      <c r="E938">
        <v>1672.71</v>
      </c>
      <c r="F938" t="s">
        <v>46</v>
      </c>
      <c r="G938" s="1">
        <v>46199</v>
      </c>
    </row>
    <row r="939" spans="1:7" x14ac:dyDescent="0.35">
      <c r="A939" t="s">
        <v>973</v>
      </c>
      <c r="B939" t="s">
        <v>62</v>
      </c>
      <c r="C939" t="s">
        <v>25</v>
      </c>
      <c r="D939">
        <v>3</v>
      </c>
      <c r="E939">
        <v>1880.66</v>
      </c>
      <c r="F939" t="s">
        <v>14</v>
      </c>
      <c r="G939" s="1">
        <v>46031</v>
      </c>
    </row>
    <row r="940" spans="1:7" x14ac:dyDescent="0.35">
      <c r="A940" t="s">
        <v>974</v>
      </c>
      <c r="B940" t="s">
        <v>55</v>
      </c>
      <c r="C940" t="s">
        <v>25</v>
      </c>
      <c r="D940">
        <v>4</v>
      </c>
      <c r="E940">
        <v>2300.3200000000002</v>
      </c>
      <c r="F940" t="s">
        <v>14</v>
      </c>
      <c r="G940" s="1">
        <v>46080</v>
      </c>
    </row>
    <row r="941" spans="1:7" x14ac:dyDescent="0.35">
      <c r="A941" t="s">
        <v>975</v>
      </c>
      <c r="B941" t="s">
        <v>21</v>
      </c>
      <c r="C941" t="s">
        <v>13</v>
      </c>
      <c r="D941">
        <v>5</v>
      </c>
      <c r="E941">
        <v>27377.77</v>
      </c>
      <c r="F941" t="s">
        <v>14</v>
      </c>
      <c r="G941" s="1">
        <v>46201</v>
      </c>
    </row>
    <row r="942" spans="1:7" x14ac:dyDescent="0.35">
      <c r="A942" t="s">
        <v>976</v>
      </c>
      <c r="B942" t="s">
        <v>24</v>
      </c>
      <c r="C942" t="s">
        <v>25</v>
      </c>
      <c r="D942">
        <v>1</v>
      </c>
      <c r="E942">
        <v>867.15</v>
      </c>
      <c r="F942" t="s">
        <v>48</v>
      </c>
      <c r="G942" s="1">
        <v>46129</v>
      </c>
    </row>
    <row r="943" spans="1:7" x14ac:dyDescent="0.35">
      <c r="A943" t="s">
        <v>977</v>
      </c>
      <c r="B943" t="s">
        <v>62</v>
      </c>
      <c r="C943" t="s">
        <v>25</v>
      </c>
      <c r="D943">
        <v>3</v>
      </c>
      <c r="E943">
        <v>2185.2399999999998</v>
      </c>
      <c r="F943" t="s">
        <v>46</v>
      </c>
      <c r="G943" s="1">
        <v>46026</v>
      </c>
    </row>
    <row r="944" spans="1:7" x14ac:dyDescent="0.35">
      <c r="A944" t="s">
        <v>978</v>
      </c>
      <c r="B944" t="s">
        <v>21</v>
      </c>
      <c r="C944" t="s">
        <v>13</v>
      </c>
      <c r="D944">
        <v>3</v>
      </c>
      <c r="E944">
        <v>26337.29</v>
      </c>
      <c r="F944" t="s">
        <v>22</v>
      </c>
      <c r="G944" s="1">
        <v>46080</v>
      </c>
    </row>
    <row r="945" spans="1:7" x14ac:dyDescent="0.35">
      <c r="A945" t="s">
        <v>979</v>
      </c>
      <c r="B945" t="s">
        <v>8</v>
      </c>
      <c r="C945" t="s">
        <v>9</v>
      </c>
      <c r="D945">
        <v>3</v>
      </c>
      <c r="E945">
        <v>1891.84</v>
      </c>
      <c r="F945" t="s">
        <v>14</v>
      </c>
      <c r="G945" s="1">
        <v>46177</v>
      </c>
    </row>
    <row r="946" spans="1:7" x14ac:dyDescent="0.35">
      <c r="A946" t="s">
        <v>980</v>
      </c>
      <c r="B946" t="s">
        <v>12</v>
      </c>
      <c r="C946" t="s">
        <v>13</v>
      </c>
      <c r="D946">
        <v>2</v>
      </c>
      <c r="E946">
        <v>1438.25</v>
      </c>
      <c r="F946" t="s">
        <v>26</v>
      </c>
      <c r="G946" s="1">
        <v>46197</v>
      </c>
    </row>
    <row r="947" spans="1:7" x14ac:dyDescent="0.35">
      <c r="A947" t="s">
        <v>981</v>
      </c>
      <c r="B947" t="s">
        <v>31</v>
      </c>
      <c r="C947" t="s">
        <v>13</v>
      </c>
      <c r="D947">
        <v>2</v>
      </c>
      <c r="E947">
        <v>19664.91</v>
      </c>
      <c r="F947" t="s">
        <v>14</v>
      </c>
      <c r="G947" s="1">
        <v>46053</v>
      </c>
    </row>
    <row r="948" spans="1:7" x14ac:dyDescent="0.35">
      <c r="A948" t="s">
        <v>982</v>
      </c>
      <c r="B948" t="s">
        <v>28</v>
      </c>
      <c r="C948" t="s">
        <v>9</v>
      </c>
      <c r="D948">
        <v>1</v>
      </c>
      <c r="E948">
        <v>4927.5200000000004</v>
      </c>
      <c r="F948" t="s">
        <v>14</v>
      </c>
      <c r="G948" s="1">
        <v>46090</v>
      </c>
    </row>
    <row r="949" spans="1:7" x14ac:dyDescent="0.35">
      <c r="A949" t="s">
        <v>983</v>
      </c>
      <c r="B949" t="s">
        <v>72</v>
      </c>
      <c r="C949" t="s">
        <v>13</v>
      </c>
      <c r="D949">
        <v>2</v>
      </c>
      <c r="E949">
        <v>2236.9499999999998</v>
      </c>
      <c r="F949" t="s">
        <v>10</v>
      </c>
      <c r="G949" s="1">
        <v>46024</v>
      </c>
    </row>
    <row r="950" spans="1:7" x14ac:dyDescent="0.35">
      <c r="A950" t="s">
        <v>984</v>
      </c>
      <c r="B950" t="s">
        <v>55</v>
      </c>
      <c r="C950" t="s">
        <v>25</v>
      </c>
      <c r="D950">
        <v>4</v>
      </c>
      <c r="E950">
        <v>2603.8000000000002</v>
      </c>
      <c r="F950" t="s">
        <v>26</v>
      </c>
      <c r="G950" s="1">
        <v>46033</v>
      </c>
    </row>
    <row r="951" spans="1:7" x14ac:dyDescent="0.35">
      <c r="A951" t="s">
        <v>985</v>
      </c>
      <c r="B951" t="s">
        <v>72</v>
      </c>
      <c r="C951" t="s">
        <v>13</v>
      </c>
      <c r="D951">
        <v>3</v>
      </c>
      <c r="E951">
        <v>2242.63</v>
      </c>
      <c r="F951" t="s">
        <v>50</v>
      </c>
      <c r="G951" s="1">
        <v>46192</v>
      </c>
    </row>
    <row r="952" spans="1:7" x14ac:dyDescent="0.35">
      <c r="A952" t="s">
        <v>986</v>
      </c>
      <c r="B952" t="s">
        <v>24</v>
      </c>
      <c r="C952" t="s">
        <v>25</v>
      </c>
      <c r="D952">
        <v>4</v>
      </c>
      <c r="E952">
        <v>845.33</v>
      </c>
      <c r="F952" t="s">
        <v>14</v>
      </c>
      <c r="G952" s="1">
        <v>46114</v>
      </c>
    </row>
    <row r="953" spans="1:7" x14ac:dyDescent="0.35">
      <c r="A953" t="s">
        <v>987</v>
      </c>
      <c r="B953" t="s">
        <v>31</v>
      </c>
      <c r="C953" t="s">
        <v>13</v>
      </c>
      <c r="D953">
        <v>3</v>
      </c>
      <c r="E953">
        <v>18091.419999999998</v>
      </c>
      <c r="F953" t="s">
        <v>26</v>
      </c>
      <c r="G953" s="1">
        <v>46156</v>
      </c>
    </row>
    <row r="954" spans="1:7" x14ac:dyDescent="0.35">
      <c r="A954" t="s">
        <v>988</v>
      </c>
      <c r="B954" t="s">
        <v>31</v>
      </c>
      <c r="C954" t="s">
        <v>13</v>
      </c>
      <c r="D954">
        <v>5</v>
      </c>
      <c r="E954">
        <v>16773.73</v>
      </c>
      <c r="F954" t="s">
        <v>14</v>
      </c>
      <c r="G954" s="1">
        <v>46160</v>
      </c>
    </row>
    <row r="955" spans="1:7" x14ac:dyDescent="0.35">
      <c r="A955" t="s">
        <v>989</v>
      </c>
      <c r="B955" t="s">
        <v>28</v>
      </c>
      <c r="C955" t="s">
        <v>9</v>
      </c>
      <c r="D955">
        <v>1</v>
      </c>
      <c r="E955">
        <v>4848.43</v>
      </c>
      <c r="F955" t="s">
        <v>29</v>
      </c>
      <c r="G955" s="1">
        <v>46192</v>
      </c>
    </row>
    <row r="956" spans="1:7" x14ac:dyDescent="0.35">
      <c r="A956" t="s">
        <v>990</v>
      </c>
      <c r="B956" t="s">
        <v>55</v>
      </c>
      <c r="C956" t="s">
        <v>25</v>
      </c>
      <c r="D956">
        <v>3</v>
      </c>
      <c r="E956">
        <v>2429.4299999999998</v>
      </c>
      <c r="F956" t="s">
        <v>29</v>
      </c>
      <c r="G956" s="1">
        <v>46181</v>
      </c>
    </row>
    <row r="957" spans="1:7" x14ac:dyDescent="0.35">
      <c r="A957" t="s">
        <v>991</v>
      </c>
      <c r="B957" t="s">
        <v>80</v>
      </c>
      <c r="C957" t="s">
        <v>39</v>
      </c>
      <c r="D957">
        <v>4</v>
      </c>
      <c r="E957">
        <v>4617.17</v>
      </c>
      <c r="F957" t="s">
        <v>46</v>
      </c>
      <c r="G957" s="1">
        <v>46052</v>
      </c>
    </row>
    <row r="958" spans="1:7" x14ac:dyDescent="0.35">
      <c r="A958" t="s">
        <v>992</v>
      </c>
      <c r="B958" t="s">
        <v>8</v>
      </c>
      <c r="C958" t="s">
        <v>9</v>
      </c>
      <c r="D958">
        <v>3</v>
      </c>
      <c r="E958">
        <v>1780.44</v>
      </c>
      <c r="F958" t="s">
        <v>50</v>
      </c>
      <c r="G958" s="1">
        <v>46182</v>
      </c>
    </row>
    <row r="959" spans="1:7" x14ac:dyDescent="0.35">
      <c r="A959" t="s">
        <v>993</v>
      </c>
      <c r="B959" t="s">
        <v>12</v>
      </c>
      <c r="C959" t="s">
        <v>13</v>
      </c>
      <c r="D959">
        <v>1</v>
      </c>
      <c r="E959">
        <v>1554.77</v>
      </c>
      <c r="F959" t="s">
        <v>32</v>
      </c>
      <c r="G959" s="1">
        <v>46120</v>
      </c>
    </row>
    <row r="960" spans="1:7" x14ac:dyDescent="0.35">
      <c r="A960" t="s">
        <v>994</v>
      </c>
      <c r="B960" t="s">
        <v>62</v>
      </c>
      <c r="C960" t="s">
        <v>25</v>
      </c>
      <c r="D960">
        <v>1</v>
      </c>
      <c r="E960">
        <v>1953.37</v>
      </c>
      <c r="F960" t="s">
        <v>14</v>
      </c>
      <c r="G960" s="1">
        <v>46095</v>
      </c>
    </row>
    <row r="961" spans="1:7" x14ac:dyDescent="0.35">
      <c r="A961" t="s">
        <v>995</v>
      </c>
      <c r="B961" t="s">
        <v>91</v>
      </c>
      <c r="C961" t="s">
        <v>13</v>
      </c>
      <c r="D961">
        <v>5</v>
      </c>
      <c r="E961">
        <v>58543.199999999997</v>
      </c>
      <c r="F961" t="s">
        <v>32</v>
      </c>
      <c r="G961" s="1">
        <v>46154</v>
      </c>
    </row>
    <row r="962" spans="1:7" x14ac:dyDescent="0.35">
      <c r="A962" t="s">
        <v>996</v>
      </c>
      <c r="B962" t="s">
        <v>62</v>
      </c>
      <c r="C962" t="s">
        <v>25</v>
      </c>
      <c r="D962">
        <v>5</v>
      </c>
      <c r="E962">
        <v>1977.23</v>
      </c>
      <c r="F962" t="s">
        <v>46</v>
      </c>
      <c r="G962" s="1">
        <v>46098</v>
      </c>
    </row>
    <row r="963" spans="1:7" x14ac:dyDescent="0.35">
      <c r="A963" t="s">
        <v>997</v>
      </c>
      <c r="B963" t="s">
        <v>8</v>
      </c>
      <c r="C963" t="s">
        <v>9</v>
      </c>
      <c r="D963">
        <v>2</v>
      </c>
      <c r="E963">
        <v>1735.31</v>
      </c>
      <c r="F963" t="s">
        <v>18</v>
      </c>
      <c r="G963" s="1">
        <v>46047</v>
      </c>
    </row>
    <row r="964" spans="1:7" x14ac:dyDescent="0.35">
      <c r="A964" t="s">
        <v>998</v>
      </c>
      <c r="B964" t="s">
        <v>72</v>
      </c>
      <c r="C964" t="s">
        <v>13</v>
      </c>
      <c r="D964">
        <v>5</v>
      </c>
      <c r="E964">
        <v>2214.61</v>
      </c>
      <c r="F964" t="s">
        <v>18</v>
      </c>
      <c r="G964" s="1">
        <v>46076</v>
      </c>
    </row>
    <row r="965" spans="1:7" x14ac:dyDescent="0.35">
      <c r="A965" t="s">
        <v>999</v>
      </c>
      <c r="B965" t="s">
        <v>8</v>
      </c>
      <c r="C965" t="s">
        <v>9</v>
      </c>
      <c r="D965">
        <v>2</v>
      </c>
      <c r="E965">
        <v>1931.38</v>
      </c>
      <c r="F965" t="s">
        <v>48</v>
      </c>
      <c r="G965" s="1">
        <v>46049</v>
      </c>
    </row>
    <row r="966" spans="1:7" x14ac:dyDescent="0.35">
      <c r="A966" t="s">
        <v>1000</v>
      </c>
      <c r="B966" t="s">
        <v>12</v>
      </c>
      <c r="C966" t="s">
        <v>13</v>
      </c>
      <c r="D966">
        <v>5</v>
      </c>
      <c r="E966">
        <v>1598.62</v>
      </c>
      <c r="F966" t="s">
        <v>48</v>
      </c>
      <c r="G966" s="1">
        <v>46188</v>
      </c>
    </row>
    <row r="967" spans="1:7" x14ac:dyDescent="0.35">
      <c r="A967" t="s">
        <v>1001</v>
      </c>
      <c r="B967" t="s">
        <v>38</v>
      </c>
      <c r="C967" t="s">
        <v>39</v>
      </c>
      <c r="D967">
        <v>1</v>
      </c>
      <c r="E967">
        <v>6820.96</v>
      </c>
      <c r="F967" t="s">
        <v>26</v>
      </c>
      <c r="G967" s="1">
        <v>46029</v>
      </c>
    </row>
    <row r="968" spans="1:7" x14ac:dyDescent="0.35">
      <c r="A968" t="s">
        <v>1002</v>
      </c>
      <c r="B968" t="s">
        <v>44</v>
      </c>
      <c r="C968" t="s">
        <v>39</v>
      </c>
      <c r="D968">
        <v>3</v>
      </c>
      <c r="E968">
        <v>3176.52</v>
      </c>
      <c r="F968" t="s">
        <v>18</v>
      </c>
      <c r="G968" s="1">
        <v>46036</v>
      </c>
    </row>
    <row r="969" spans="1:7" x14ac:dyDescent="0.35">
      <c r="A969" t="s">
        <v>1003</v>
      </c>
      <c r="B969" t="s">
        <v>72</v>
      </c>
      <c r="C969" t="s">
        <v>13</v>
      </c>
      <c r="D969">
        <v>3</v>
      </c>
      <c r="E969">
        <v>2225.56</v>
      </c>
      <c r="F969" t="s">
        <v>50</v>
      </c>
      <c r="G969" s="1">
        <v>46081</v>
      </c>
    </row>
    <row r="970" spans="1:7" x14ac:dyDescent="0.35">
      <c r="A970" t="s">
        <v>1004</v>
      </c>
      <c r="B970" t="s">
        <v>24</v>
      </c>
      <c r="C970" t="s">
        <v>25</v>
      </c>
      <c r="D970">
        <v>4</v>
      </c>
      <c r="E970">
        <v>781.11</v>
      </c>
      <c r="F970" t="s">
        <v>48</v>
      </c>
      <c r="G970" s="1">
        <v>46133</v>
      </c>
    </row>
    <row r="971" spans="1:7" x14ac:dyDescent="0.35">
      <c r="A971" t="s">
        <v>1005</v>
      </c>
      <c r="B971" t="s">
        <v>55</v>
      </c>
      <c r="C971" t="s">
        <v>25</v>
      </c>
      <c r="D971">
        <v>1</v>
      </c>
      <c r="E971">
        <v>2443.77</v>
      </c>
      <c r="F971" t="s">
        <v>18</v>
      </c>
      <c r="G971" s="1">
        <v>46159</v>
      </c>
    </row>
    <row r="972" spans="1:7" x14ac:dyDescent="0.35">
      <c r="A972" t="s">
        <v>1006</v>
      </c>
      <c r="B972" t="s">
        <v>91</v>
      </c>
      <c r="C972" t="s">
        <v>13</v>
      </c>
      <c r="D972">
        <v>5</v>
      </c>
      <c r="E972">
        <v>50195.61</v>
      </c>
      <c r="F972" t="s">
        <v>50</v>
      </c>
      <c r="G972" s="1">
        <v>46034</v>
      </c>
    </row>
    <row r="973" spans="1:7" x14ac:dyDescent="0.35">
      <c r="A973" t="s">
        <v>1007</v>
      </c>
      <c r="B973" t="s">
        <v>21</v>
      </c>
      <c r="C973" t="s">
        <v>13</v>
      </c>
      <c r="D973">
        <v>1</v>
      </c>
      <c r="E973">
        <v>27203.119999999999</v>
      </c>
      <c r="F973" t="s">
        <v>14</v>
      </c>
      <c r="G973" s="1">
        <v>46050</v>
      </c>
    </row>
    <row r="974" spans="1:7" x14ac:dyDescent="0.35">
      <c r="A974" t="s">
        <v>1008</v>
      </c>
      <c r="B974" t="s">
        <v>24</v>
      </c>
      <c r="C974" t="s">
        <v>25</v>
      </c>
      <c r="D974">
        <v>3</v>
      </c>
      <c r="E974">
        <v>816.03</v>
      </c>
      <c r="F974" t="s">
        <v>10</v>
      </c>
      <c r="G974" s="1">
        <v>46135</v>
      </c>
    </row>
    <row r="975" spans="1:7" x14ac:dyDescent="0.35">
      <c r="A975" t="s">
        <v>1009</v>
      </c>
      <c r="B975" t="s">
        <v>28</v>
      </c>
      <c r="C975" t="s">
        <v>9</v>
      </c>
      <c r="D975">
        <v>4</v>
      </c>
      <c r="E975">
        <v>5321.06</v>
      </c>
      <c r="F975" t="s">
        <v>46</v>
      </c>
      <c r="G975" s="1">
        <v>46144</v>
      </c>
    </row>
    <row r="976" spans="1:7" x14ac:dyDescent="0.35">
      <c r="A976" t="s">
        <v>1010</v>
      </c>
      <c r="B976" t="s">
        <v>72</v>
      </c>
      <c r="C976" t="s">
        <v>13</v>
      </c>
      <c r="D976">
        <v>5</v>
      </c>
      <c r="E976">
        <v>2076.7399999999998</v>
      </c>
      <c r="F976" t="s">
        <v>48</v>
      </c>
      <c r="G976" s="1">
        <v>46162</v>
      </c>
    </row>
    <row r="977" spans="1:7" x14ac:dyDescent="0.35">
      <c r="A977" t="s">
        <v>1011</v>
      </c>
      <c r="B977" t="s">
        <v>24</v>
      </c>
      <c r="C977" t="s">
        <v>25</v>
      </c>
      <c r="D977">
        <v>2</v>
      </c>
      <c r="E977">
        <v>766.73</v>
      </c>
      <c r="F977" t="s">
        <v>32</v>
      </c>
      <c r="G977" s="1">
        <v>46025</v>
      </c>
    </row>
    <row r="978" spans="1:7" x14ac:dyDescent="0.35">
      <c r="A978" t="s">
        <v>1012</v>
      </c>
      <c r="B978" t="s">
        <v>80</v>
      </c>
      <c r="C978" t="s">
        <v>39</v>
      </c>
      <c r="D978">
        <v>5</v>
      </c>
      <c r="E978">
        <v>3898.75</v>
      </c>
      <c r="F978" t="s">
        <v>46</v>
      </c>
      <c r="G978" s="1">
        <v>46024</v>
      </c>
    </row>
    <row r="979" spans="1:7" x14ac:dyDescent="0.35">
      <c r="A979" t="s">
        <v>1013</v>
      </c>
      <c r="B979" t="s">
        <v>16</v>
      </c>
      <c r="C979" t="s">
        <v>17</v>
      </c>
      <c r="D979">
        <v>5</v>
      </c>
      <c r="E979">
        <v>440.47</v>
      </c>
      <c r="F979" t="s">
        <v>14</v>
      </c>
      <c r="G979" s="1">
        <v>46044</v>
      </c>
    </row>
    <row r="980" spans="1:7" x14ac:dyDescent="0.35">
      <c r="A980" t="s">
        <v>1014</v>
      </c>
      <c r="B980" t="s">
        <v>24</v>
      </c>
      <c r="C980" t="s">
        <v>25</v>
      </c>
      <c r="D980">
        <v>2</v>
      </c>
      <c r="E980">
        <v>838.68</v>
      </c>
      <c r="F980" t="s">
        <v>32</v>
      </c>
      <c r="G980" s="1">
        <v>46077</v>
      </c>
    </row>
    <row r="981" spans="1:7" x14ac:dyDescent="0.35">
      <c r="A981" t="s">
        <v>1015</v>
      </c>
      <c r="B981" t="s">
        <v>28</v>
      </c>
      <c r="C981" t="s">
        <v>9</v>
      </c>
      <c r="D981">
        <v>5</v>
      </c>
      <c r="E981">
        <v>4641.53</v>
      </c>
      <c r="F981" t="s">
        <v>26</v>
      </c>
      <c r="G981" s="1">
        <v>46079</v>
      </c>
    </row>
    <row r="982" spans="1:7" x14ac:dyDescent="0.35">
      <c r="A982" t="s">
        <v>1016</v>
      </c>
      <c r="B982" t="s">
        <v>16</v>
      </c>
      <c r="C982" t="s">
        <v>17</v>
      </c>
      <c r="D982">
        <v>3</v>
      </c>
      <c r="E982">
        <v>422.49</v>
      </c>
      <c r="F982" t="s">
        <v>26</v>
      </c>
      <c r="G982" s="1">
        <v>46194</v>
      </c>
    </row>
    <row r="983" spans="1:7" x14ac:dyDescent="0.35">
      <c r="A983" t="s">
        <v>1017</v>
      </c>
      <c r="B983" t="s">
        <v>62</v>
      </c>
      <c r="C983" t="s">
        <v>25</v>
      </c>
      <c r="D983">
        <v>5</v>
      </c>
      <c r="E983">
        <v>2139.83</v>
      </c>
      <c r="F983" t="s">
        <v>14</v>
      </c>
      <c r="G983" s="1">
        <v>46141</v>
      </c>
    </row>
    <row r="984" spans="1:7" x14ac:dyDescent="0.35">
      <c r="A984" t="s">
        <v>1018</v>
      </c>
      <c r="B984" t="s">
        <v>8</v>
      </c>
      <c r="C984" t="s">
        <v>9</v>
      </c>
      <c r="D984">
        <v>5</v>
      </c>
      <c r="E984">
        <v>1646.33</v>
      </c>
      <c r="F984" t="s">
        <v>18</v>
      </c>
      <c r="G984" s="1">
        <v>46087</v>
      </c>
    </row>
    <row r="985" spans="1:7" x14ac:dyDescent="0.35">
      <c r="A985" t="s">
        <v>1019</v>
      </c>
      <c r="B985" t="s">
        <v>31</v>
      </c>
      <c r="C985" t="s">
        <v>13</v>
      </c>
      <c r="D985">
        <v>2</v>
      </c>
      <c r="E985">
        <v>18812.12</v>
      </c>
      <c r="F985" t="s">
        <v>22</v>
      </c>
      <c r="G985" s="1">
        <v>46107</v>
      </c>
    </row>
    <row r="986" spans="1:7" x14ac:dyDescent="0.35">
      <c r="A986" t="s">
        <v>1020</v>
      </c>
      <c r="B986" t="s">
        <v>55</v>
      </c>
      <c r="C986" t="s">
        <v>25</v>
      </c>
      <c r="D986">
        <v>2</v>
      </c>
      <c r="E986">
        <v>2584.61</v>
      </c>
      <c r="F986" t="s">
        <v>29</v>
      </c>
      <c r="G986" s="1">
        <v>46048</v>
      </c>
    </row>
    <row r="987" spans="1:7" x14ac:dyDescent="0.35">
      <c r="A987" t="s">
        <v>1021</v>
      </c>
      <c r="B987" t="s">
        <v>24</v>
      </c>
      <c r="C987" t="s">
        <v>25</v>
      </c>
      <c r="D987">
        <v>5</v>
      </c>
      <c r="E987">
        <v>730.26</v>
      </c>
      <c r="F987" t="s">
        <v>29</v>
      </c>
      <c r="G987" s="1">
        <v>46104</v>
      </c>
    </row>
    <row r="988" spans="1:7" x14ac:dyDescent="0.35">
      <c r="A988" t="s">
        <v>1022</v>
      </c>
      <c r="B988" t="s">
        <v>44</v>
      </c>
      <c r="C988" t="s">
        <v>39</v>
      </c>
      <c r="D988">
        <v>4</v>
      </c>
      <c r="E988">
        <v>3379.84</v>
      </c>
      <c r="F988" t="s">
        <v>10</v>
      </c>
      <c r="G988" s="1">
        <v>46200</v>
      </c>
    </row>
    <row r="989" spans="1:7" x14ac:dyDescent="0.35">
      <c r="A989" t="s">
        <v>1023</v>
      </c>
      <c r="B989" t="s">
        <v>16</v>
      </c>
      <c r="C989" t="s">
        <v>17</v>
      </c>
      <c r="D989">
        <v>2</v>
      </c>
      <c r="E989">
        <v>455.9</v>
      </c>
      <c r="F989" t="s">
        <v>32</v>
      </c>
      <c r="G989" s="1">
        <v>46103</v>
      </c>
    </row>
    <row r="990" spans="1:7" x14ac:dyDescent="0.35">
      <c r="A990" t="s">
        <v>1024</v>
      </c>
      <c r="B990" t="s">
        <v>28</v>
      </c>
      <c r="C990" t="s">
        <v>9</v>
      </c>
      <c r="D990">
        <v>2</v>
      </c>
      <c r="E990">
        <v>4503.93</v>
      </c>
      <c r="F990" t="s">
        <v>29</v>
      </c>
      <c r="G990" s="1">
        <v>46079</v>
      </c>
    </row>
    <row r="991" spans="1:7" x14ac:dyDescent="0.35">
      <c r="A991" t="s">
        <v>1025</v>
      </c>
      <c r="B991" t="s">
        <v>21</v>
      </c>
      <c r="C991" t="s">
        <v>13</v>
      </c>
      <c r="D991">
        <v>4</v>
      </c>
      <c r="E991">
        <v>26749.41</v>
      </c>
      <c r="F991" t="s">
        <v>32</v>
      </c>
      <c r="G991" s="1">
        <v>46057</v>
      </c>
    </row>
    <row r="992" spans="1:7" x14ac:dyDescent="0.35">
      <c r="A992" t="s">
        <v>1026</v>
      </c>
      <c r="B992" t="s">
        <v>8</v>
      </c>
      <c r="C992" t="s">
        <v>9</v>
      </c>
      <c r="D992">
        <v>3</v>
      </c>
      <c r="E992">
        <v>1936.04</v>
      </c>
      <c r="F992" t="s">
        <v>22</v>
      </c>
      <c r="G992" s="1">
        <v>46137</v>
      </c>
    </row>
    <row r="993" spans="1:7" x14ac:dyDescent="0.35">
      <c r="A993" t="s">
        <v>1027</v>
      </c>
      <c r="B993" t="s">
        <v>55</v>
      </c>
      <c r="C993" t="s">
        <v>25</v>
      </c>
      <c r="D993">
        <v>3</v>
      </c>
      <c r="E993">
        <v>2492.4899999999998</v>
      </c>
      <c r="F993" t="s">
        <v>18</v>
      </c>
      <c r="G993" s="1">
        <v>46067</v>
      </c>
    </row>
    <row r="994" spans="1:7" x14ac:dyDescent="0.35">
      <c r="A994" t="s">
        <v>1028</v>
      </c>
      <c r="B994" t="s">
        <v>8</v>
      </c>
      <c r="C994" t="s">
        <v>9</v>
      </c>
      <c r="D994">
        <v>5</v>
      </c>
      <c r="E994">
        <v>1649.51</v>
      </c>
      <c r="F994" t="s">
        <v>10</v>
      </c>
      <c r="G994" s="1">
        <v>46058</v>
      </c>
    </row>
    <row r="995" spans="1:7" x14ac:dyDescent="0.35">
      <c r="A995" t="s">
        <v>1029</v>
      </c>
      <c r="B995" t="s">
        <v>80</v>
      </c>
      <c r="C995" t="s">
        <v>39</v>
      </c>
      <c r="D995">
        <v>2</v>
      </c>
      <c r="E995">
        <v>4001.12</v>
      </c>
      <c r="F995" t="s">
        <v>18</v>
      </c>
      <c r="G995" s="1">
        <v>46042</v>
      </c>
    </row>
    <row r="996" spans="1:7" x14ac:dyDescent="0.35">
      <c r="A996" t="s">
        <v>1030</v>
      </c>
      <c r="B996" t="s">
        <v>91</v>
      </c>
      <c r="C996" t="s">
        <v>13</v>
      </c>
      <c r="D996">
        <v>5</v>
      </c>
      <c r="E996">
        <v>56447.89</v>
      </c>
      <c r="F996" t="s">
        <v>50</v>
      </c>
      <c r="G996" s="1">
        <v>46171</v>
      </c>
    </row>
    <row r="997" spans="1:7" x14ac:dyDescent="0.35">
      <c r="A997" t="s">
        <v>1031</v>
      </c>
      <c r="B997" t="s">
        <v>28</v>
      </c>
      <c r="C997" t="s">
        <v>9</v>
      </c>
      <c r="D997">
        <v>5</v>
      </c>
      <c r="E997">
        <v>4711.82</v>
      </c>
      <c r="F997" t="s">
        <v>46</v>
      </c>
      <c r="G997" s="1">
        <v>46164</v>
      </c>
    </row>
    <row r="998" spans="1:7" x14ac:dyDescent="0.35">
      <c r="A998" t="s">
        <v>1032</v>
      </c>
      <c r="B998" t="s">
        <v>24</v>
      </c>
      <c r="C998" t="s">
        <v>25</v>
      </c>
      <c r="D998">
        <v>5</v>
      </c>
      <c r="E998">
        <v>861.96</v>
      </c>
      <c r="F998" t="s">
        <v>14</v>
      </c>
      <c r="G998" s="1">
        <v>46143</v>
      </c>
    </row>
    <row r="999" spans="1:7" x14ac:dyDescent="0.35">
      <c r="A999" t="s">
        <v>1033</v>
      </c>
      <c r="B999" t="s">
        <v>8</v>
      </c>
      <c r="C999" t="s">
        <v>9</v>
      </c>
      <c r="D999">
        <v>2</v>
      </c>
      <c r="E999">
        <v>1751.69</v>
      </c>
      <c r="F999" t="s">
        <v>29</v>
      </c>
      <c r="G999" s="1">
        <v>46173</v>
      </c>
    </row>
    <row r="1000" spans="1:7" x14ac:dyDescent="0.35">
      <c r="A1000" t="s">
        <v>1034</v>
      </c>
      <c r="B1000" t="s">
        <v>21</v>
      </c>
      <c r="C1000" t="s">
        <v>13</v>
      </c>
      <c r="D1000">
        <v>3</v>
      </c>
      <c r="E1000">
        <v>25949.74</v>
      </c>
      <c r="F1000" t="s">
        <v>14</v>
      </c>
      <c r="G1000" s="1">
        <v>46153</v>
      </c>
    </row>
    <row r="1001" spans="1:7" x14ac:dyDescent="0.35">
      <c r="A1001" t="s">
        <v>1035</v>
      </c>
      <c r="B1001" t="s">
        <v>31</v>
      </c>
      <c r="C1001" t="s">
        <v>13</v>
      </c>
      <c r="D1001">
        <v>4</v>
      </c>
      <c r="E1001">
        <v>17509.919999999998</v>
      </c>
      <c r="F1001" t="s">
        <v>46</v>
      </c>
      <c r="G1001" s="1">
        <v>46192</v>
      </c>
    </row>
  </sheetData>
  <autoFilter ref="A1:G1001" xr:uid="{85985F7E-D421-4242-80DB-EDC30489E9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MTD</vt:lpstr>
      <vt:lpstr>ecommerce_sales_1000_records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nizam mat jusoh</cp:lastModifiedBy>
  <dcterms:created xsi:type="dcterms:W3CDTF">2026-07-04T05:14:24Z</dcterms:created>
  <dcterms:modified xsi:type="dcterms:W3CDTF">2026-07-04T06:16:12Z</dcterms:modified>
</cp:coreProperties>
</file>